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DataAnalyst\Projet2\Faites_une_analyse_de_ventes_pour_un_e-commerce_Kanga_Kouamé-Ghyslain\"/>
    </mc:Choice>
  </mc:AlternateContent>
  <xr:revisionPtr revIDLastSave="0" documentId="13_ncr:1_{E05ADC94-1DB5-4F0F-99F3-089770DE3B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au de bord" sheetId="1" r:id="rId1"/>
    <sheet name="Top10" sheetId="15" state="hidden" r:id="rId2"/>
    <sheet name="Tableau Client x Catégorie" sheetId="2" r:id="rId3"/>
    <sheet name="Draft" sheetId="8" state="hidden" r:id="rId4"/>
    <sheet name="Feuil11" sheetId="14" state="hidden" r:id="rId5"/>
    <sheet name="DATA Février (clients affiliés)" sheetId="3" r:id="rId6"/>
  </sheets>
  <definedNames>
    <definedName name="_xlnm._FilterDatabase" localSheetId="5" hidden="1">'DATA Février (clients affiliés)'!$H$2:$H$3</definedName>
    <definedName name="_xlchart.v1.0" hidden="1">'DATA Février (clients affiliés)'!$D$7:$D$666</definedName>
    <definedName name="_xlchart.v1.1" hidden="1">'DATA Février (clients affiliés)'!$E$6</definedName>
    <definedName name="_xlchart.v1.2" hidden="1">'DATA Février (clients affiliés)'!$E$7:$E$666</definedName>
    <definedName name="Clients">'Tableau Client x Catégorie'!$1:$1048576</definedName>
    <definedName name="_xlnm.Criteria" localSheetId="5">'DATA Février (clients affiliés)'!$F$2:$F$3</definedName>
    <definedName name="_xlnm.Extract" localSheetId="5">'DATA Février (clients affiliés)'!#REF!</definedName>
    <definedName name="_xlnm.Print_Area" localSheetId="0">'Tableau de bord'!$K$74,'Tableau de bord'!$M$137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hNbJbAFHoveqHnENoPQ2UCUW0iMg=="/>
    </ext>
  </extLst>
</workbook>
</file>

<file path=xl/calcChain.xml><?xml version="1.0" encoding="utf-8"?>
<calcChain xmlns="http://schemas.openxmlformats.org/spreadsheetml/2006/main">
  <c r="B16" i="1" l="1"/>
  <c r="B15" i="1"/>
  <c r="C16" i="1"/>
  <c r="C15" i="1"/>
  <c r="B667" i="3" l="1"/>
  <c r="G11" i="1" l="1"/>
  <c r="I11" i="1" l="1"/>
  <c r="C667" i="3"/>
  <c r="E502" i="3" s="1"/>
  <c r="I9" i="1"/>
  <c r="I10" i="1"/>
  <c r="I8" i="1"/>
  <c r="E438" i="3" l="1"/>
  <c r="E621" i="3"/>
  <c r="E575" i="3"/>
  <c r="E639" i="3"/>
  <c r="E566" i="3"/>
  <c r="E492" i="3"/>
  <c r="E630" i="3"/>
  <c r="E557" i="3"/>
  <c r="E482" i="3"/>
  <c r="E470" i="3"/>
  <c r="E612" i="3"/>
  <c r="E539" i="3"/>
  <c r="E460" i="3"/>
  <c r="E603" i="3"/>
  <c r="E530" i="3"/>
  <c r="E450" i="3"/>
  <c r="E548" i="3"/>
  <c r="E663" i="3"/>
  <c r="E594" i="3"/>
  <c r="E520" i="3"/>
  <c r="E655" i="3"/>
  <c r="E584" i="3"/>
  <c r="E511" i="3"/>
  <c r="E428" i="3"/>
  <c r="E647" i="3"/>
  <c r="E8" i="3"/>
  <c r="E16" i="3"/>
  <c r="E24" i="3"/>
  <c r="E10" i="3"/>
  <c r="E19" i="3"/>
  <c r="E28" i="3"/>
  <c r="E36" i="3"/>
  <c r="E44" i="3"/>
  <c r="E52" i="3"/>
  <c r="E60" i="3"/>
  <c r="E68" i="3"/>
  <c r="E76" i="3"/>
  <c r="E84" i="3"/>
  <c r="E92" i="3"/>
  <c r="E100" i="3"/>
  <c r="E108" i="3"/>
  <c r="E116" i="3"/>
  <c r="E124" i="3"/>
  <c r="E132" i="3"/>
  <c r="E140" i="3"/>
  <c r="E148" i="3"/>
  <c r="E13" i="3"/>
  <c r="E22" i="3"/>
  <c r="E31" i="3"/>
  <c r="E39" i="3"/>
  <c r="E47" i="3"/>
  <c r="E55" i="3"/>
  <c r="E63" i="3"/>
  <c r="E71" i="3"/>
  <c r="E79" i="3"/>
  <c r="E87" i="3"/>
  <c r="E95" i="3"/>
  <c r="E103" i="3"/>
  <c r="E111" i="3"/>
  <c r="E119" i="3"/>
  <c r="E127" i="3"/>
  <c r="E135" i="3"/>
  <c r="E143" i="3"/>
  <c r="E151" i="3"/>
  <c r="E159" i="3"/>
  <c r="E167" i="3"/>
  <c r="E175" i="3"/>
  <c r="E183" i="3"/>
  <c r="E191" i="3"/>
  <c r="E199" i="3"/>
  <c r="E207" i="3"/>
  <c r="E215" i="3"/>
  <c r="E223" i="3"/>
  <c r="E231" i="3"/>
  <c r="E239" i="3"/>
  <c r="E247" i="3"/>
  <c r="E255" i="3"/>
  <c r="E263" i="3"/>
  <c r="E271" i="3"/>
  <c r="E279" i="3"/>
  <c r="E287" i="3"/>
  <c r="E295" i="3"/>
  <c r="E303" i="3"/>
  <c r="E311" i="3"/>
  <c r="E319" i="3"/>
  <c r="E327" i="3"/>
  <c r="E335" i="3"/>
  <c r="E343" i="3"/>
  <c r="E351" i="3"/>
  <c r="E359" i="3"/>
  <c r="E367" i="3"/>
  <c r="E375" i="3"/>
  <c r="E383" i="3"/>
  <c r="E391" i="3"/>
  <c r="E399" i="3"/>
  <c r="E407" i="3"/>
  <c r="E415" i="3"/>
  <c r="E423" i="3"/>
  <c r="E431" i="3"/>
  <c r="E439" i="3"/>
  <c r="E447" i="3"/>
  <c r="E455" i="3"/>
  <c r="E463" i="3"/>
  <c r="E471" i="3"/>
  <c r="E479" i="3"/>
  <c r="E487" i="3"/>
  <c r="E495" i="3"/>
  <c r="E14" i="3"/>
  <c r="E23" i="3"/>
  <c r="E32" i="3"/>
  <c r="E40" i="3"/>
  <c r="E48" i="3"/>
  <c r="E56" i="3"/>
  <c r="E64" i="3"/>
  <c r="E72" i="3"/>
  <c r="E80" i="3"/>
  <c r="E88" i="3"/>
  <c r="E96" i="3"/>
  <c r="E104" i="3"/>
  <c r="E112" i="3"/>
  <c r="E120" i="3"/>
  <c r="E128" i="3"/>
  <c r="E136" i="3"/>
  <c r="E144" i="3"/>
  <c r="E152" i="3"/>
  <c r="E160" i="3"/>
  <c r="E168" i="3"/>
  <c r="E176" i="3"/>
  <c r="E184" i="3"/>
  <c r="E192" i="3"/>
  <c r="E200" i="3"/>
  <c r="E208" i="3"/>
  <c r="E216" i="3"/>
  <c r="E224" i="3"/>
  <c r="E232" i="3"/>
  <c r="E240" i="3"/>
  <c r="E248" i="3"/>
  <c r="E256" i="3"/>
  <c r="E264" i="3"/>
  <c r="E272" i="3"/>
  <c r="E280" i="3"/>
  <c r="E288" i="3"/>
  <c r="E296" i="3"/>
  <c r="E304" i="3"/>
  <c r="E312" i="3"/>
  <c r="E320" i="3"/>
  <c r="E328" i="3"/>
  <c r="E336" i="3"/>
  <c r="E344" i="3"/>
  <c r="E15" i="3"/>
  <c r="E25" i="3"/>
  <c r="E33" i="3"/>
  <c r="E41" i="3"/>
  <c r="E49" i="3"/>
  <c r="E57" i="3"/>
  <c r="E65" i="3"/>
  <c r="E73" i="3"/>
  <c r="E81" i="3"/>
  <c r="E89" i="3"/>
  <c r="E97" i="3"/>
  <c r="E105" i="3"/>
  <c r="E113" i="3"/>
  <c r="E121" i="3"/>
  <c r="E129" i="3"/>
  <c r="E137" i="3"/>
  <c r="E145" i="3"/>
  <c r="E153" i="3"/>
  <c r="E161" i="3"/>
  <c r="E169" i="3"/>
  <c r="E177" i="3"/>
  <c r="E185" i="3"/>
  <c r="E193" i="3"/>
  <c r="E201" i="3"/>
  <c r="E209" i="3"/>
  <c r="E217" i="3"/>
  <c r="E225" i="3"/>
  <c r="E233" i="3"/>
  <c r="E241" i="3"/>
  <c r="E249" i="3"/>
  <c r="E257" i="3"/>
  <c r="E265" i="3"/>
  <c r="E273" i="3"/>
  <c r="E281" i="3"/>
  <c r="E289" i="3"/>
  <c r="E297" i="3"/>
  <c r="E305" i="3"/>
  <c r="E313" i="3"/>
  <c r="E321" i="3"/>
  <c r="E329" i="3"/>
  <c r="E337" i="3"/>
  <c r="E345" i="3"/>
  <c r="E353" i="3"/>
  <c r="E361" i="3"/>
  <c r="E369" i="3"/>
  <c r="E377" i="3"/>
  <c r="E385" i="3"/>
  <c r="E393" i="3"/>
  <c r="E401" i="3"/>
  <c r="E409" i="3"/>
  <c r="E417" i="3"/>
  <c r="E425" i="3"/>
  <c r="E433" i="3"/>
  <c r="E441" i="3"/>
  <c r="E449" i="3"/>
  <c r="E457" i="3"/>
  <c r="E465" i="3"/>
  <c r="E473" i="3"/>
  <c r="E481" i="3"/>
  <c r="E489" i="3"/>
  <c r="E497" i="3"/>
  <c r="E505" i="3"/>
  <c r="E513" i="3"/>
  <c r="E521" i="3"/>
  <c r="E529" i="3"/>
  <c r="E537" i="3"/>
  <c r="E545" i="3"/>
  <c r="E553" i="3"/>
  <c r="E561" i="3"/>
  <c r="E569" i="3"/>
  <c r="E577" i="3"/>
  <c r="E585" i="3"/>
  <c r="E593" i="3"/>
  <c r="E601" i="3"/>
  <c r="E609" i="3"/>
  <c r="E617" i="3"/>
  <c r="E625" i="3"/>
  <c r="E633" i="3"/>
  <c r="E17" i="3"/>
  <c r="E26" i="3"/>
  <c r="E34" i="3"/>
  <c r="E42" i="3"/>
  <c r="E50" i="3"/>
  <c r="E58" i="3"/>
  <c r="E66" i="3"/>
  <c r="E74" i="3"/>
  <c r="E82" i="3"/>
  <c r="E90" i="3"/>
  <c r="E98" i="3"/>
  <c r="E106" i="3"/>
  <c r="E114" i="3"/>
  <c r="E122" i="3"/>
  <c r="E130" i="3"/>
  <c r="E138" i="3"/>
  <c r="E146" i="3"/>
  <c r="E154" i="3"/>
  <c r="E162" i="3"/>
  <c r="E170" i="3"/>
  <c r="E178" i="3"/>
  <c r="E186" i="3"/>
  <c r="E194" i="3"/>
  <c r="E202" i="3"/>
  <c r="E210" i="3"/>
  <c r="E218" i="3"/>
  <c r="E226" i="3"/>
  <c r="E234" i="3"/>
  <c r="E242" i="3"/>
  <c r="E250" i="3"/>
  <c r="E258" i="3"/>
  <c r="E266" i="3"/>
  <c r="E274" i="3"/>
  <c r="E282" i="3"/>
  <c r="E662" i="3"/>
  <c r="E654" i="3"/>
  <c r="E646" i="3"/>
  <c r="E638" i="3"/>
  <c r="E629" i="3"/>
  <c r="E620" i="3"/>
  <c r="E611" i="3"/>
  <c r="E602" i="3"/>
  <c r="E592" i="3"/>
  <c r="E583" i="3"/>
  <c r="E574" i="3"/>
  <c r="E565" i="3"/>
  <c r="E556" i="3"/>
  <c r="E547" i="3"/>
  <c r="E538" i="3"/>
  <c r="E528" i="3"/>
  <c r="E519" i="3"/>
  <c r="E510" i="3"/>
  <c r="E501" i="3"/>
  <c r="E491" i="3"/>
  <c r="E480" i="3"/>
  <c r="E469" i="3"/>
  <c r="E459" i="3"/>
  <c r="E448" i="3"/>
  <c r="E437" i="3"/>
  <c r="E427" i="3"/>
  <c r="E416" i="3"/>
  <c r="E405" i="3"/>
  <c r="E395" i="3"/>
  <c r="E384" i="3"/>
  <c r="E373" i="3"/>
  <c r="E363" i="3"/>
  <c r="E352" i="3"/>
  <c r="E340" i="3"/>
  <c r="E326" i="3"/>
  <c r="E315" i="3"/>
  <c r="E301" i="3"/>
  <c r="E290" i="3"/>
  <c r="E275" i="3"/>
  <c r="E259" i="3"/>
  <c r="E243" i="3"/>
  <c r="E227" i="3"/>
  <c r="E211" i="3"/>
  <c r="E195" i="3"/>
  <c r="E179" i="3"/>
  <c r="E163" i="3"/>
  <c r="E142" i="3"/>
  <c r="E123" i="3"/>
  <c r="E101" i="3"/>
  <c r="E78" i="3"/>
  <c r="E59" i="3"/>
  <c r="E37" i="3"/>
  <c r="E12" i="3"/>
  <c r="E661" i="3"/>
  <c r="E653" i="3"/>
  <c r="E645" i="3"/>
  <c r="E637" i="3"/>
  <c r="E628" i="3"/>
  <c r="E619" i="3"/>
  <c r="E610" i="3"/>
  <c r="E600" i="3"/>
  <c r="E591" i="3"/>
  <c r="E582" i="3"/>
  <c r="E573" i="3"/>
  <c r="E564" i="3"/>
  <c r="E555" i="3"/>
  <c r="E546" i="3"/>
  <c r="E536" i="3"/>
  <c r="E527" i="3"/>
  <c r="E518" i="3"/>
  <c r="E509" i="3"/>
  <c r="E500" i="3"/>
  <c r="E490" i="3"/>
  <c r="E478" i="3"/>
  <c r="E468" i="3"/>
  <c r="E458" i="3"/>
  <c r="E446" i="3"/>
  <c r="E436" i="3"/>
  <c r="E426" i="3"/>
  <c r="E414" i="3"/>
  <c r="E404" i="3"/>
  <c r="E394" i="3"/>
  <c r="E382" i="3"/>
  <c r="E372" i="3"/>
  <c r="E362" i="3"/>
  <c r="E350" i="3"/>
  <c r="E339" i="3"/>
  <c r="E325" i="3"/>
  <c r="E314" i="3"/>
  <c r="E300" i="3"/>
  <c r="E286" i="3"/>
  <c r="E270" i="3"/>
  <c r="E254" i="3"/>
  <c r="E238" i="3"/>
  <c r="E222" i="3"/>
  <c r="E206" i="3"/>
  <c r="E190" i="3"/>
  <c r="E174" i="3"/>
  <c r="E158" i="3"/>
  <c r="E141" i="3"/>
  <c r="E118" i="3"/>
  <c r="E99" i="3"/>
  <c r="E77" i="3"/>
  <c r="E54" i="3"/>
  <c r="E35" i="3"/>
  <c r="E11" i="3"/>
  <c r="E660" i="3"/>
  <c r="E652" i="3"/>
  <c r="E644" i="3"/>
  <c r="E636" i="3"/>
  <c r="E627" i="3"/>
  <c r="E618" i="3"/>
  <c r="E608" i="3"/>
  <c r="E599" i="3"/>
  <c r="E590" i="3"/>
  <c r="E581" i="3"/>
  <c r="E572" i="3"/>
  <c r="E563" i="3"/>
  <c r="E554" i="3"/>
  <c r="E544" i="3"/>
  <c r="E535" i="3"/>
  <c r="E526" i="3"/>
  <c r="E517" i="3"/>
  <c r="E508" i="3"/>
  <c r="E499" i="3"/>
  <c r="E488" i="3"/>
  <c r="E477" i="3"/>
  <c r="E467" i="3"/>
  <c r="E456" i="3"/>
  <c r="E445" i="3"/>
  <c r="E435" i="3"/>
  <c r="E424" i="3"/>
  <c r="E413" i="3"/>
  <c r="E403" i="3"/>
  <c r="E392" i="3"/>
  <c r="E381" i="3"/>
  <c r="E371" i="3"/>
  <c r="E360" i="3"/>
  <c r="E349" i="3"/>
  <c r="E338" i="3"/>
  <c r="E324" i="3"/>
  <c r="E310" i="3"/>
  <c r="E299" i="3"/>
  <c r="E285" i="3"/>
  <c r="E269" i="3"/>
  <c r="E253" i="3"/>
  <c r="E237" i="3"/>
  <c r="E221" i="3"/>
  <c r="E205" i="3"/>
  <c r="E189" i="3"/>
  <c r="E173" i="3"/>
  <c r="E157" i="3"/>
  <c r="E139" i="3"/>
  <c r="E117" i="3"/>
  <c r="E94" i="3"/>
  <c r="E75" i="3"/>
  <c r="E53" i="3"/>
  <c r="E30" i="3"/>
  <c r="E9" i="3"/>
  <c r="E7" i="3"/>
  <c r="E659" i="3"/>
  <c r="E651" i="3"/>
  <c r="E643" i="3"/>
  <c r="E635" i="3"/>
  <c r="E626" i="3"/>
  <c r="E616" i="3"/>
  <c r="E607" i="3"/>
  <c r="E598" i="3"/>
  <c r="E589" i="3"/>
  <c r="E580" i="3"/>
  <c r="E571" i="3"/>
  <c r="E562" i="3"/>
  <c r="E552" i="3"/>
  <c r="E543" i="3"/>
  <c r="E534" i="3"/>
  <c r="E525" i="3"/>
  <c r="E516" i="3"/>
  <c r="E507" i="3"/>
  <c r="E498" i="3"/>
  <c r="E486" i="3"/>
  <c r="E476" i="3"/>
  <c r="E466" i="3"/>
  <c r="E454" i="3"/>
  <c r="E444" i="3"/>
  <c r="E434" i="3"/>
  <c r="E422" i="3"/>
  <c r="E412" i="3"/>
  <c r="E402" i="3"/>
  <c r="E390" i="3"/>
  <c r="E380" i="3"/>
  <c r="E370" i="3"/>
  <c r="E358" i="3"/>
  <c r="E348" i="3"/>
  <c r="E334" i="3"/>
  <c r="E323" i="3"/>
  <c r="E309" i="3"/>
  <c r="E298" i="3"/>
  <c r="E284" i="3"/>
  <c r="E268" i="3"/>
  <c r="E252" i="3"/>
  <c r="E236" i="3"/>
  <c r="E220" i="3"/>
  <c r="E204" i="3"/>
  <c r="E188" i="3"/>
  <c r="E172" i="3"/>
  <c r="E156" i="3"/>
  <c r="E134" i="3"/>
  <c r="E115" i="3"/>
  <c r="E93" i="3"/>
  <c r="E70" i="3"/>
  <c r="E51" i="3"/>
  <c r="E29" i="3"/>
  <c r="E666" i="3"/>
  <c r="E658" i="3"/>
  <c r="E650" i="3"/>
  <c r="E642" i="3"/>
  <c r="E634" i="3"/>
  <c r="E624" i="3"/>
  <c r="E615" i="3"/>
  <c r="E606" i="3"/>
  <c r="E597" i="3"/>
  <c r="E588" i="3"/>
  <c r="E579" i="3"/>
  <c r="E570" i="3"/>
  <c r="E560" i="3"/>
  <c r="E551" i="3"/>
  <c r="E542" i="3"/>
  <c r="E533" i="3"/>
  <c r="E524" i="3"/>
  <c r="E515" i="3"/>
  <c r="E506" i="3"/>
  <c r="E496" i="3"/>
  <c r="E485" i="3"/>
  <c r="E475" i="3"/>
  <c r="E464" i="3"/>
  <c r="E453" i="3"/>
  <c r="E443" i="3"/>
  <c r="E432" i="3"/>
  <c r="E421" i="3"/>
  <c r="E411" i="3"/>
  <c r="E400" i="3"/>
  <c r="E389" i="3"/>
  <c r="E379" i="3"/>
  <c r="E368" i="3"/>
  <c r="E357" i="3"/>
  <c r="E347" i="3"/>
  <c r="E333" i="3"/>
  <c r="E322" i="3"/>
  <c r="E308" i="3"/>
  <c r="E294" i="3"/>
  <c r="E283" i="3"/>
  <c r="E267" i="3"/>
  <c r="E251" i="3"/>
  <c r="E235" i="3"/>
  <c r="E219" i="3"/>
  <c r="E203" i="3"/>
  <c r="E187" i="3"/>
  <c r="E171" i="3"/>
  <c r="E155" i="3"/>
  <c r="E133" i="3"/>
  <c r="E110" i="3"/>
  <c r="E91" i="3"/>
  <c r="E69" i="3"/>
  <c r="E46" i="3"/>
  <c r="E27" i="3"/>
  <c r="E418" i="3"/>
  <c r="E396" i="3"/>
  <c r="E374" i="3"/>
  <c r="E354" i="3"/>
  <c r="E330" i="3"/>
  <c r="E302" i="3"/>
  <c r="E276" i="3"/>
  <c r="E244" i="3"/>
  <c r="E196" i="3"/>
  <c r="E164" i="3"/>
  <c r="E125" i="3"/>
  <c r="E83" i="3"/>
  <c r="E38" i="3"/>
  <c r="E665" i="3"/>
  <c r="E657" i="3"/>
  <c r="E649" i="3"/>
  <c r="E641" i="3"/>
  <c r="E632" i="3"/>
  <c r="E623" i="3"/>
  <c r="E614" i="3"/>
  <c r="E605" i="3"/>
  <c r="E596" i="3"/>
  <c r="E587" i="3"/>
  <c r="E578" i="3"/>
  <c r="E568" i="3"/>
  <c r="E559" i="3"/>
  <c r="E550" i="3"/>
  <c r="E541" i="3"/>
  <c r="E532" i="3"/>
  <c r="E523" i="3"/>
  <c r="E514" i="3"/>
  <c r="E504" i="3"/>
  <c r="E494" i="3"/>
  <c r="E484" i="3"/>
  <c r="E474" i="3"/>
  <c r="E462" i="3"/>
  <c r="E452" i="3"/>
  <c r="E442" i="3"/>
  <c r="E430" i="3"/>
  <c r="E420" i="3"/>
  <c r="E410" i="3"/>
  <c r="E398" i="3"/>
  <c r="E388" i="3"/>
  <c r="E378" i="3"/>
  <c r="E366" i="3"/>
  <c r="E356" i="3"/>
  <c r="E346" i="3"/>
  <c r="E332" i="3"/>
  <c r="E318" i="3"/>
  <c r="E307" i="3"/>
  <c r="E293" i="3"/>
  <c r="E278" i="3"/>
  <c r="E262" i="3"/>
  <c r="E246" i="3"/>
  <c r="E230" i="3"/>
  <c r="E214" i="3"/>
  <c r="E198" i="3"/>
  <c r="E182" i="3"/>
  <c r="E166" i="3"/>
  <c r="E150" i="3"/>
  <c r="E131" i="3"/>
  <c r="E109" i="3"/>
  <c r="E86" i="3"/>
  <c r="E67" i="3"/>
  <c r="E45" i="3"/>
  <c r="E21" i="3"/>
  <c r="E406" i="3"/>
  <c r="E386" i="3"/>
  <c r="E364" i="3"/>
  <c r="E341" i="3"/>
  <c r="E316" i="3"/>
  <c r="E291" i="3"/>
  <c r="E260" i="3"/>
  <c r="E228" i="3"/>
  <c r="E212" i="3"/>
  <c r="E180" i="3"/>
  <c r="E147" i="3"/>
  <c r="E102" i="3"/>
  <c r="E61" i="3"/>
  <c r="E18" i="3"/>
  <c r="E664" i="3"/>
  <c r="E656" i="3"/>
  <c r="E648" i="3"/>
  <c r="E640" i="3"/>
  <c r="E631" i="3"/>
  <c r="E622" i="3"/>
  <c r="E613" i="3"/>
  <c r="E604" i="3"/>
  <c r="E595" i="3"/>
  <c r="E586" i="3"/>
  <c r="E576" i="3"/>
  <c r="E567" i="3"/>
  <c r="E558" i="3"/>
  <c r="E549" i="3"/>
  <c r="E540" i="3"/>
  <c r="E531" i="3"/>
  <c r="E522" i="3"/>
  <c r="E512" i="3"/>
  <c r="E503" i="3"/>
  <c r="E493" i="3"/>
  <c r="E483" i="3"/>
  <c r="E472" i="3"/>
  <c r="E461" i="3"/>
  <c r="E451" i="3"/>
  <c r="E440" i="3"/>
  <c r="E429" i="3"/>
  <c r="E419" i="3"/>
  <c r="E408" i="3"/>
  <c r="E397" i="3"/>
  <c r="E387" i="3"/>
  <c r="E376" i="3"/>
  <c r="E365" i="3"/>
  <c r="E355" i="3"/>
  <c r="E342" i="3"/>
  <c r="E331" i="3"/>
  <c r="E317" i="3"/>
  <c r="E306" i="3"/>
  <c r="E292" i="3"/>
  <c r="E277" i="3"/>
  <c r="E261" i="3"/>
  <c r="E245" i="3"/>
  <c r="E229" i="3"/>
  <c r="E213" i="3"/>
  <c r="E197" i="3"/>
  <c r="E181" i="3"/>
  <c r="E165" i="3"/>
  <c r="E149" i="3"/>
  <c r="E126" i="3"/>
  <c r="E107" i="3"/>
  <c r="E85" i="3"/>
  <c r="E62" i="3"/>
  <c r="E43" i="3"/>
  <c r="E20" i="3"/>
  <c r="E667" i="3" l="1"/>
</calcChain>
</file>

<file path=xl/sharedStrings.xml><?xml version="1.0" encoding="utf-8"?>
<sst xmlns="http://schemas.openxmlformats.org/spreadsheetml/2006/main" count="741" uniqueCount="52">
  <si>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</si>
  <si>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</si>
  <si>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</si>
  <si>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</si>
  <si>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</si>
  <si>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</si>
  <si>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</si>
  <si>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</si>
  <si>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</si>
  <si>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</si>
  <si>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</si>
  <si>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</si>
  <si>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</si>
  <si>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</si>
  <si>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</si>
  <si>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</si>
  <si>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</si>
  <si>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</si>
  <si>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</si>
  <si>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</si>
  <si>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</si>
  <si>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</si>
  <si>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</si>
  <si>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</si>
  <si>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</si>
  <si>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</si>
  <si>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</si>
  <si>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CA %</t>
  </si>
  <si>
    <t>Étiquettes de lignes</t>
  </si>
  <si>
    <t>Somme de Montant</t>
  </si>
  <si>
    <t>Total général</t>
  </si>
  <si>
    <t>Somme de ID client</t>
  </si>
  <si>
    <t>Somme de CA %</t>
  </si>
  <si>
    <t>Étiquettes de colonnes</t>
  </si>
  <si>
    <t>Total Somme de CA %</t>
  </si>
  <si>
    <t>Total Somme de Montant</t>
  </si>
  <si>
    <t>ID Clients</t>
  </si>
  <si>
    <t>Catégorie</t>
  </si>
  <si>
    <t>Formule =SOMME(C8:H8)</t>
  </si>
  <si>
    <t>F=SOMME(H8:H10)</t>
  </si>
  <si>
    <t>Nombre d'achats</t>
  </si>
  <si>
    <t>"=SOMME(B8:G8)"</t>
  </si>
  <si>
    <t>"=SOMME(B9:G9)"</t>
  </si>
  <si>
    <t>"=SOMME(B10:G10)"</t>
  </si>
  <si>
    <t>"=SOMME(B11:G11)"</t>
  </si>
  <si>
    <t>FORMULES</t>
  </si>
  <si>
    <t>Total Nombre d'achats</t>
  </si>
  <si>
    <t>"=NB.SI('DATA Février (clients affiliés)'!B1:B660;"&gt;9,50")"</t>
  </si>
  <si>
    <t>"=NB.SI('DATA Février (clients affiliés)'!B:B;"&lt;4")"</t>
  </si>
  <si>
    <t>NB TRANSACTION</t>
  </si>
  <si>
    <t>"=SOMME.SI(Table_1[Temps d''achat];"&lt;4";Table_1[Montant])"</t>
  </si>
  <si>
    <t>"=SOMME.SI(Table_1[Temps d''achat];"&gt;9,50";'DATA Février (clients affiliés)'!C:C)"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</si>
</sst>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\ &quot;€&quot;"/>
    <numFmt numFmtId="165" formatCode="_-* #,##0.00\ &quot;€&quot;_-;\-* #,##0.00\ &quot;€&quot;_-;_-* &quot;-&quot;??\ &quot;€&quot;_-;_-@"/>
    <numFmt numFmtId="166" formatCode="#,##0.00\ &quot;€&quot;"/>
    <numFmt numFmtId="167" formatCode="#,##0.00\ _€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sz val="12"/>
      <color theme="5"/>
      <name val="Calibri"/>
      <family val="2"/>
    </font>
    <font>
      <b/>
      <sz val="11"/>
      <color theme="0"/>
      <name val="Calibri"/>
      <family val="2"/>
    </font>
    <font>
      <sz val="11"/>
      <color theme="5"/>
      <name val="Calibri"/>
      <family val="2"/>
    </font>
    <font>
      <sz val="11"/>
      <color theme="1"/>
      <name val="Calibri"/>
      <family val="2"/>
      <scheme val="minor"/>
    </font>
    <font>
      <b/>
      <i/>
      <sz val="16"/>
      <color theme="0"/>
      <name val="Calibri"/>
      <family val="2"/>
    </font>
    <font>
      <sz val="16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6"/>
      <color theme="0"/>
      <name val="Calibri"/>
      <family val="2"/>
    </font>
    <font>
      <b/>
      <sz val="1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  <bgColor theme="0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0"/>
      </patternFill>
    </fill>
    <fill>
      <patternFill patternType="solid">
        <fgColor theme="2"/>
        <bgColor theme="0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8"/>
      </patternFill>
    </fill>
    <fill>
      <patternFill patternType="solid">
        <fgColor theme="9" tint="-0.249977111117893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0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6" borderId="0" applyNumberFormat="0" applyBorder="0" applyAlignment="0" applyProtection="0"/>
    <xf numFmtId="0" fontId="14" fillId="8" borderId="32" applyBorder="0" applyAlignment="0"/>
  </cellStyleXfs>
  <cellXfs count="131">
    <xf numFmtId="0" fontId="0" fillId="0" borderId="0" xfId="0"/>
    <xf numFmtId="0" fontId="4" fillId="2" borderId="1" xfId="0" applyFont="1" applyFill="1" applyBorder="1"/>
    <xf numFmtId="0" fontId="10" fillId="2" borderId="11" xfId="0" applyFont="1" applyFill="1" applyBorder="1" applyAlignment="1">
      <alignment horizontal="center" vertical="center"/>
    </xf>
    <xf numFmtId="164" fontId="10" fillId="2" borderId="12" xfId="0" applyNumberFormat="1" applyFont="1" applyFill="1" applyBorder="1" applyAlignment="1">
      <alignment horizontal="center" vertical="center"/>
    </xf>
    <xf numFmtId="164" fontId="10" fillId="2" borderId="13" xfId="0" applyNumberFormat="1" applyFont="1" applyFill="1" applyBorder="1" applyAlignment="1">
      <alignment horizontal="center" vertical="center"/>
    </xf>
    <xf numFmtId="164" fontId="11" fillId="2" borderId="14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/>
    <xf numFmtId="0" fontId="10" fillId="5" borderId="15" xfId="0" applyFont="1" applyFill="1" applyBorder="1" applyAlignment="1">
      <alignment horizontal="center" vertical="center"/>
    </xf>
    <xf numFmtId="164" fontId="10" fillId="5" borderId="16" xfId="0" applyNumberFormat="1" applyFont="1" applyFill="1" applyBorder="1" applyAlignment="1">
      <alignment horizontal="center" vertical="center"/>
    </xf>
    <xf numFmtId="164" fontId="10" fillId="5" borderId="17" xfId="0" applyNumberFormat="1" applyFont="1" applyFill="1" applyBorder="1" applyAlignment="1">
      <alignment horizontal="center" vertical="center"/>
    </xf>
    <xf numFmtId="164" fontId="11" fillId="5" borderId="14" xfId="0" applyNumberFormat="1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164" fontId="10" fillId="2" borderId="19" xfId="0" applyNumberFormat="1" applyFont="1" applyFill="1" applyBorder="1" applyAlignment="1">
      <alignment horizontal="center" vertical="center"/>
    </xf>
    <xf numFmtId="164" fontId="10" fillId="2" borderId="20" xfId="0" applyNumberFormat="1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164" fontId="8" fillId="4" borderId="21" xfId="0" applyNumberFormat="1" applyFont="1" applyFill="1" applyBorder="1" applyAlignment="1">
      <alignment horizontal="center" vertical="center"/>
    </xf>
    <xf numFmtId="164" fontId="8" fillId="4" borderId="22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/>
    <xf numFmtId="0" fontId="4" fillId="2" borderId="28" xfId="0" applyFont="1" applyFill="1" applyBorder="1"/>
    <xf numFmtId="0" fontId="4" fillId="2" borderId="29" xfId="0" applyFont="1" applyFill="1" applyBorder="1"/>
    <xf numFmtId="0" fontId="4" fillId="2" borderId="30" xfId="0" applyFont="1" applyFill="1" applyBorder="1"/>
    <xf numFmtId="0" fontId="4" fillId="2" borderId="31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11" fillId="2" borderId="14" xfId="0" applyNumberFormat="1" applyFont="1" applyFill="1" applyBorder="1" applyAlignment="1">
      <alignment horizontal="center" vertical="center"/>
    </xf>
    <xf numFmtId="10" fontId="3" fillId="0" borderId="0" xfId="0" applyNumberFormat="1" applyFont="1"/>
    <xf numFmtId="10" fontId="0" fillId="0" borderId="0" xfId="0" applyNumberFormat="1"/>
    <xf numFmtId="10" fontId="4" fillId="0" borderId="0" xfId="0" applyNumberFormat="1" applyFont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7" xfId="0" applyBorder="1"/>
    <xf numFmtId="0" fontId="0" fillId="0" borderId="32" xfId="0" pivotButton="1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32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5" xfId="0" applyBorder="1"/>
    <xf numFmtId="0" fontId="0" fillId="0" borderId="41" xfId="0" applyBorder="1"/>
    <xf numFmtId="0" fontId="0" fillId="0" borderId="42" xfId="0" applyBorder="1"/>
    <xf numFmtId="0" fontId="0" fillId="0" borderId="39" xfId="0" applyBorder="1" applyAlignment="1">
      <alignment horizontal="left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35" xfId="0" applyBorder="1" applyAlignment="1">
      <alignment horizontal="left" indent="1"/>
    </xf>
    <xf numFmtId="0" fontId="0" fillId="0" borderId="38" xfId="0" applyBorder="1" applyAlignment="1">
      <alignment horizontal="left"/>
    </xf>
    <xf numFmtId="0" fontId="0" fillId="0" borderId="41" xfId="0" applyBorder="1" applyAlignment="1">
      <alignment horizontal="left" indent="1"/>
    </xf>
    <xf numFmtId="0" fontId="0" fillId="0" borderId="1" xfId="0" applyBorder="1"/>
    <xf numFmtId="0" fontId="0" fillId="0" borderId="46" xfId="0" applyBorder="1"/>
    <xf numFmtId="0" fontId="4" fillId="7" borderId="1" xfId="0" applyFont="1" applyFill="1" applyBorder="1"/>
    <xf numFmtId="166" fontId="0" fillId="0" borderId="1" xfId="0" applyNumberFormat="1" applyBorder="1"/>
    <xf numFmtId="166" fontId="0" fillId="0" borderId="38" xfId="0" applyNumberFormat="1" applyBorder="1"/>
    <xf numFmtId="166" fontId="0" fillId="0" borderId="41" xfId="0" applyNumberFormat="1" applyBorder="1"/>
    <xf numFmtId="166" fontId="0" fillId="0" borderId="0" xfId="0" applyNumberFormat="1"/>
    <xf numFmtId="166" fontId="0" fillId="0" borderId="43" xfId="0" applyNumberFormat="1" applyBorder="1"/>
    <xf numFmtId="166" fontId="0" fillId="0" borderId="44" xfId="0" applyNumberFormat="1" applyBorder="1"/>
    <xf numFmtId="0" fontId="4" fillId="10" borderId="1" xfId="0" applyFont="1" applyFill="1" applyBorder="1"/>
    <xf numFmtId="165" fontId="4" fillId="2" borderId="0" xfId="0" applyNumberFormat="1" applyFont="1" applyFill="1" applyAlignment="1">
      <alignment horizontal="center" vertical="center"/>
    </xf>
    <xf numFmtId="164" fontId="11" fillId="2" borderId="49" xfId="0" applyNumberFormat="1" applyFont="1" applyFill="1" applyBorder="1" applyAlignment="1">
      <alignment horizontal="center"/>
    </xf>
    <xf numFmtId="0" fontId="2" fillId="6" borderId="47" xfId="1" applyBorder="1"/>
    <xf numFmtId="0" fontId="4" fillId="11" borderId="1" xfId="0" applyFont="1" applyFill="1" applyBorder="1"/>
    <xf numFmtId="0" fontId="2" fillId="0" borderId="32" xfId="0" applyFont="1" applyBorder="1"/>
    <xf numFmtId="164" fontId="17" fillId="4" borderId="23" xfId="0" applyNumberFormat="1" applyFont="1" applyFill="1" applyBorder="1" applyAlignment="1">
      <alignment horizontal="center" vertical="center"/>
    </xf>
    <xf numFmtId="166" fontId="0" fillId="0" borderId="36" xfId="0" applyNumberFormat="1" applyBorder="1"/>
    <xf numFmtId="166" fontId="0" fillId="0" borderId="42" xfId="0" applyNumberFormat="1" applyBorder="1"/>
    <xf numFmtId="166" fontId="0" fillId="0" borderId="32" xfId="0" applyNumberFormat="1" applyBorder="1"/>
    <xf numFmtId="166" fontId="0" fillId="0" borderId="35" xfId="0" applyNumberFormat="1" applyBorder="1"/>
    <xf numFmtId="0" fontId="4" fillId="5" borderId="52" xfId="0" applyFont="1" applyFill="1" applyBorder="1" applyAlignment="1">
      <alignment horizontal="center"/>
    </xf>
    <xf numFmtId="0" fontId="13" fillId="2" borderId="53" xfId="0" applyFont="1" applyFill="1" applyBorder="1" applyAlignment="1">
      <alignment horizontal="center"/>
    </xf>
    <xf numFmtId="0" fontId="13" fillId="2" borderId="54" xfId="0" applyFont="1" applyFill="1" applyBorder="1" applyAlignment="1">
      <alignment horizontal="center" vertical="center"/>
    </xf>
    <xf numFmtId="0" fontId="18" fillId="0" borderId="0" xfId="0" applyFont="1"/>
    <xf numFmtId="167" fontId="0" fillId="0" borderId="0" xfId="0" applyNumberFormat="1"/>
    <xf numFmtId="0" fontId="6" fillId="0" borderId="1" xfId="0" applyFont="1" applyBorder="1"/>
    <xf numFmtId="0" fontId="0" fillId="13" borderId="0" xfId="0" applyFill="1"/>
    <xf numFmtId="0" fontId="4" fillId="13" borderId="1" xfId="0" applyFont="1" applyFill="1" applyBorder="1"/>
    <xf numFmtId="0" fontId="1" fillId="12" borderId="0" xfId="0" applyFont="1" applyFill="1"/>
    <xf numFmtId="0" fontId="1" fillId="12" borderId="0" xfId="0" applyFont="1" applyFill="1" applyAlignment="1">
      <alignment horizontal="left"/>
    </xf>
    <xf numFmtId="10" fontId="1" fillId="12" borderId="0" xfId="0" applyNumberFormat="1" applyFont="1" applyFill="1"/>
    <xf numFmtId="166" fontId="1" fillId="12" borderId="0" xfId="0" applyNumberFormat="1" applyFont="1" applyFill="1"/>
    <xf numFmtId="0" fontId="20" fillId="14" borderId="0" xfId="0" applyFont="1" applyFill="1"/>
    <xf numFmtId="0" fontId="20" fillId="14" borderId="0" xfId="0" applyFont="1" applyFill="1" applyAlignment="1">
      <alignment horizontal="center"/>
    </xf>
    <xf numFmtId="0" fontId="20" fillId="14" borderId="0" xfId="0" applyFont="1" applyFill="1" applyAlignment="1">
      <alignment horizontal="center" vertical="center"/>
    </xf>
    <xf numFmtId="10" fontId="20" fillId="14" borderId="0" xfId="0" applyNumberFormat="1" applyFont="1" applyFill="1" applyAlignment="1">
      <alignment horizontal="center" vertical="center"/>
    </xf>
    <xf numFmtId="164" fontId="1" fillId="12" borderId="0" xfId="0" applyNumberFormat="1" applyFont="1" applyFill="1"/>
    <xf numFmtId="0" fontId="6" fillId="15" borderId="1" xfId="0" applyFont="1" applyFill="1" applyBorder="1"/>
    <xf numFmtId="0" fontId="0" fillId="15" borderId="0" xfId="0" applyFill="1"/>
    <xf numFmtId="0" fontId="19" fillId="16" borderId="1" xfId="0" applyFont="1" applyFill="1" applyBorder="1" applyAlignment="1">
      <alignment horizontal="center" vertical="center"/>
    </xf>
    <xf numFmtId="0" fontId="2" fillId="9" borderId="50" xfId="1" applyFill="1" applyBorder="1" applyAlignment="1">
      <alignment horizontal="center" vertical="center"/>
    </xf>
    <xf numFmtId="0" fontId="2" fillId="9" borderId="51" xfId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5" fillId="3" borderId="2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6" fillId="0" borderId="8" xfId="0" applyFont="1" applyBorder="1"/>
    <xf numFmtId="0" fontId="8" fillId="4" borderId="6" xfId="0" applyFont="1" applyFill="1" applyBorder="1" applyAlignment="1">
      <alignment horizontal="center" vertical="center"/>
    </xf>
    <xf numFmtId="0" fontId="6" fillId="0" borderId="9" xfId="0" applyFont="1" applyBorder="1"/>
    <xf numFmtId="0" fontId="8" fillId="4" borderId="7" xfId="0" applyFont="1" applyFill="1" applyBorder="1" applyAlignment="1">
      <alignment horizontal="center" vertical="center"/>
    </xf>
    <xf numFmtId="0" fontId="6" fillId="0" borderId="10" xfId="0" applyFont="1" applyBorder="1"/>
    <xf numFmtId="0" fontId="9" fillId="4" borderId="48" xfId="0" applyFont="1" applyFill="1" applyBorder="1" applyAlignment="1">
      <alignment horizontal="center" vertical="center"/>
    </xf>
    <xf numFmtId="0" fontId="6" fillId="0" borderId="29" xfId="0" applyFont="1" applyBorder="1"/>
    <xf numFmtId="0" fontId="8" fillId="4" borderId="55" xfId="0" applyFont="1" applyFill="1" applyBorder="1" applyAlignment="1">
      <alignment horizontal="center" vertical="center"/>
    </xf>
    <xf numFmtId="0" fontId="6" fillId="0" borderId="56" xfId="0" applyFont="1" applyBorder="1"/>
    <xf numFmtId="0" fontId="15" fillId="3" borderId="2" xfId="0" applyFont="1" applyFill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2" fillId="4" borderId="57" xfId="0" applyFont="1" applyFill="1" applyBorder="1" applyAlignment="1">
      <alignment horizontal="center" vertical="center"/>
    </xf>
    <xf numFmtId="166" fontId="13" fillId="2" borderId="58" xfId="0" applyNumberFormat="1" applyFont="1" applyFill="1" applyBorder="1" applyAlignment="1">
      <alignment horizontal="center"/>
    </xf>
    <xf numFmtId="165" fontId="13" fillId="2" borderId="59" xfId="0" applyNumberFormat="1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/>
    </xf>
    <xf numFmtId="0" fontId="4" fillId="2" borderId="61" xfId="0" applyFont="1" applyFill="1" applyBorder="1" applyAlignment="1">
      <alignment horizontal="center"/>
    </xf>
    <xf numFmtId="0" fontId="4" fillId="2" borderId="62" xfId="0" applyFont="1" applyFill="1" applyBorder="1" applyAlignment="1">
      <alignment horizontal="center"/>
    </xf>
    <xf numFmtId="0" fontId="4" fillId="17" borderId="60" xfId="0" applyFont="1" applyFill="1" applyBorder="1" applyAlignment="1">
      <alignment horizontal="center"/>
    </xf>
    <xf numFmtId="0" fontId="4" fillId="17" borderId="61" xfId="0" applyFont="1" applyFill="1" applyBorder="1" applyAlignment="1">
      <alignment horizontal="center"/>
    </xf>
    <xf numFmtId="0" fontId="4" fillId="17" borderId="62" xfId="0" applyFont="1" applyFill="1" applyBorder="1" applyAlignment="1">
      <alignment horizontal="center"/>
    </xf>
    <xf numFmtId="0" fontId="0" fillId="18" borderId="60" xfId="0" applyFill="1" applyBorder="1" applyAlignment="1">
      <alignment horizontal="center"/>
    </xf>
    <xf numFmtId="0" fontId="0" fillId="18" borderId="61" xfId="0" applyFill="1" applyBorder="1" applyAlignment="1">
      <alignment horizontal="center"/>
    </xf>
    <xf numFmtId="0" fontId="0" fillId="18" borderId="62" xfId="0" applyFill="1" applyBorder="1" applyAlignment="1">
      <alignment horizontal="center"/>
    </xf>
    <xf numFmtId="0" fontId="4" fillId="19" borderId="60" xfId="0" applyFont="1" applyFill="1" applyBorder="1" applyAlignment="1">
      <alignment horizontal="center"/>
    </xf>
    <xf numFmtId="0" fontId="4" fillId="19" borderId="61" xfId="0" applyFont="1" applyFill="1" applyBorder="1" applyAlignment="1">
      <alignment horizontal="center"/>
    </xf>
    <xf numFmtId="0" fontId="4" fillId="19" borderId="62" xfId="0" applyFont="1" applyFill="1" applyBorder="1" applyAlignment="1">
      <alignment horizontal="center"/>
    </xf>
  </cellXfs>
  <cellStyles count="3">
    <cellStyle name="60 % - Accent2" xfId="1" builtinId="36"/>
    <cellStyle name="Normal" xfId="0" builtinId="0"/>
    <cellStyle name="Style 1" xfId="2" xr:uid="{DEE59052-07C4-415C-BC9F-8177A0CBFDA9}"/>
  </cellStyles>
  <dxfs count="110"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theme="2"/>
      </font>
      <fill>
        <patternFill>
          <bgColor theme="9" tint="-0.24994659260841701"/>
        </patternFill>
      </fill>
    </dxf>
    <dxf>
      <fill>
        <patternFill>
          <bgColor theme="5"/>
        </patternFill>
      </fill>
    </dxf>
    <dxf>
      <font>
        <color theme="2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fgColor theme="4" tint="-0.24994659260841701"/>
          <bgColor theme="2"/>
        </patternFill>
      </fill>
    </dxf>
    <dxf>
      <font>
        <b/>
        <i val="0"/>
        <color theme="2"/>
      </font>
      <fill>
        <patternFill>
          <fgColor theme="4" tint="-0.24994659260841701"/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-* #,##0.00\ &quot;€&quot;_-;\-* #,##0.00\ &quot;€&quot;_-;_-* &quot;-&quot;??\ &quot;€&quot;_-;_-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66" formatCode="#,##0.00\ &quot;€&quot;"/>
      <border diagonalUp="0" diagonalDown="0">
        <left/>
        <right/>
        <top style="thin">
          <color indexed="65"/>
        </top>
        <bottom/>
        <vertical/>
        <horizontal/>
      </border>
    </dxf>
    <dxf>
      <numFmt numFmtId="0" formatCode="General"/>
      <border diagonalUp="0" diagonalDown="0">
        <left style="thin">
          <color rgb="FF999999"/>
        </left>
        <right/>
        <top style="thin">
          <color indexed="65"/>
        </top>
        <bottom/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/>
        <right/>
        <top style="thin">
          <color indexed="65"/>
        </top>
        <bottom/>
        <vertical/>
        <horizontal/>
      </border>
    </dxf>
    <dxf>
      <border outline="0">
        <left style="thin">
          <color rgb="FF999999"/>
        </left>
        <right style="thin">
          <color rgb="FF999999"/>
        </right>
        <top style="thin">
          <color rgb="FF999999"/>
        </top>
      </border>
    </dxf>
    <dxf>
      <numFmt numFmtId="164" formatCode="#,##0\ &quot;€&quot;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\ &quot;€&quot;"/>
    </dxf>
    <dxf>
      <numFmt numFmtId="167" formatCode="#,##0.00\ _€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gradientFill degree="270">
          <stop position="0">
            <color theme="0"/>
          </stop>
          <stop position="1">
            <color theme="4"/>
          </stop>
        </gradient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gradientFill degree="270">
          <stop position="0">
            <color theme="0"/>
          </stop>
          <stop position="1">
            <color theme="4"/>
          </stop>
        </gradient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gradientFill degree="270">
          <stop position="0">
            <color theme="0"/>
          </stop>
          <stop position="1">
            <color theme="4"/>
          </stop>
        </gradient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gradientFill degree="270">
          <stop position="0">
            <color theme="0"/>
          </stop>
          <stop position="1">
            <color theme="4"/>
          </stop>
        </gradient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gradientFill degree="270">
          <stop position="0">
            <color theme="0"/>
          </stop>
          <stop position="1">
            <color theme="4"/>
          </stop>
        </gradient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gradientFill degree="270">
          <stop position="0">
            <color theme="0"/>
          </stop>
          <stop position="1">
            <color theme="4"/>
          </stop>
        </gradientFill>
      </fill>
      <protection locked="1" hidden="0"/>
    </dxf>
    <dxf>
      <alignment vertical="bottom"/>
    </dxf>
    <dxf>
      <alignment vertical="bottom"/>
    </dxf>
    <dxf>
      <fill>
        <patternFill>
          <bgColor theme="5" tint="-0.249977111117893"/>
        </patternFill>
      </fill>
    </dxf>
    <dxf>
      <font>
        <color theme="2"/>
      </font>
    </dxf>
    <dxf>
      <fill>
        <patternFill patternType="solid">
          <bgColor rgb="FF002060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109"/>
      <tableStyleElement type="totalRow" dxfId="108"/>
      <tableStyleElement type="firstRowStripe" dxfId="107"/>
      <tableStyleElement type="secondRowStripe" dxfId="106"/>
    </tableStyle>
  </tableStyles>
  <colors>
    <mruColors>
      <color rgb="FFED7D31"/>
      <color rgb="FF245960"/>
      <color rgb="FF1D15C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 sz="1800" b="1">
                <a:solidFill>
                  <a:schemeClr val="bg1"/>
                </a:solidFill>
              </a:rPr>
              <a:t>Evolution du chiffre d'affaires au sein des catégories</a:t>
            </a:r>
          </a:p>
        </c:rich>
      </c:tx>
      <c:overlay val="0"/>
      <c:spPr>
        <a:solidFill>
          <a:srgbClr val="ED7D3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1"/>
        <c:ser>
          <c:idx val="1"/>
          <c:order val="1"/>
          <c:tx>
            <c:v>bien de conso.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bord'!$B$6:$G$6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bord'!$B$8:$G$8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 formatCode="_-* #\ ##0.00\ &quot;€&quot;_-;\-* #\ ##0.00\ &quot;€&quot;_-;_-* &quot;-&quot;??\ &quot;€&quot;_-;_-@">
                  <c:v>14763.899999999992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v>nourriture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bord'!$B$6:$G$6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bord'!$B$9:$G$9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ser>
          <c:idx val="3"/>
          <c:order val="3"/>
          <c:tx>
            <c:v>high-tech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bord'!$B$6:$G$6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bord'!$B$10:$G$10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63-4152-A66B-2488883BEA8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35767072"/>
        <c:axId val="111131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'Tableau de bord'!$B$6:$G$6</c15:sqref>
                        </c15:formulaRef>
                      </c:ext>
                    </c:extLst>
                    <c:strCache>
                      <c:ptCount val="6"/>
                      <c:pt idx="0">
                        <c:v>SEPT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'Tableau de bord'!$B$7:$G$7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F05-104D-808D-17BB0AD7C195}"/>
                  </c:ext>
                </c:extLst>
              </c15:ser>
            </c15:filteredLineSeries>
          </c:ext>
        </c:extLst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576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 sz="1800" b="1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Montant du panier en fonction du temps sur</a:t>
            </a:r>
            <a:r>
              <a:rPr lang="fr-FR" sz="1800" b="1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le site</a:t>
            </a:r>
            <a:endParaRPr lang="fr-FR" sz="1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solidFill>
          <a:srgbClr val="ED7D3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affiliés)'!$B$7:$B$666</c:f>
              <c:numCache>
                <c:formatCode>#,##0.00</c:formatCode>
                <c:ptCount val="660"/>
                <c:pt idx="0">
                  <c:v>9.68</c:v>
                </c:pt>
                <c:pt idx="1">
                  <c:v>12.6</c:v>
                </c:pt>
                <c:pt idx="2">
                  <c:v>8.93</c:v>
                </c:pt>
                <c:pt idx="3">
                  <c:v>11.5</c:v>
                </c:pt>
                <c:pt idx="4">
                  <c:v>8.8000000000000007</c:v>
                </c:pt>
                <c:pt idx="5">
                  <c:v>8.2899999999999991</c:v>
                </c:pt>
                <c:pt idx="6">
                  <c:v>11.9</c:v>
                </c:pt>
                <c:pt idx="7">
                  <c:v>12.5</c:v>
                </c:pt>
                <c:pt idx="8">
                  <c:v>8.0399999999999991</c:v>
                </c:pt>
                <c:pt idx="9">
                  <c:v>9.7799999999999994</c:v>
                </c:pt>
                <c:pt idx="10">
                  <c:v>12.4</c:v>
                </c:pt>
                <c:pt idx="11">
                  <c:v>9.84</c:v>
                </c:pt>
                <c:pt idx="12">
                  <c:v>12.5</c:v>
                </c:pt>
                <c:pt idx="13">
                  <c:v>11.8</c:v>
                </c:pt>
                <c:pt idx="14">
                  <c:v>7.97</c:v>
                </c:pt>
                <c:pt idx="15">
                  <c:v>12.3</c:v>
                </c:pt>
                <c:pt idx="16">
                  <c:v>8.56</c:v>
                </c:pt>
                <c:pt idx="17">
                  <c:v>10.4</c:v>
                </c:pt>
                <c:pt idx="18">
                  <c:v>7.3</c:v>
                </c:pt>
                <c:pt idx="19">
                  <c:v>11.1</c:v>
                </c:pt>
                <c:pt idx="20">
                  <c:v>8.3800000000000008</c:v>
                </c:pt>
                <c:pt idx="21">
                  <c:v>9.69</c:v>
                </c:pt>
                <c:pt idx="22">
                  <c:v>12.5</c:v>
                </c:pt>
                <c:pt idx="23">
                  <c:v>5.94</c:v>
                </c:pt>
                <c:pt idx="24">
                  <c:v>8.0500000000000007</c:v>
                </c:pt>
                <c:pt idx="25">
                  <c:v>10.7</c:v>
                </c:pt>
                <c:pt idx="26">
                  <c:v>12.5</c:v>
                </c:pt>
                <c:pt idx="27">
                  <c:v>11.3</c:v>
                </c:pt>
                <c:pt idx="28">
                  <c:v>10</c:v>
                </c:pt>
                <c:pt idx="29">
                  <c:v>12.4</c:v>
                </c:pt>
                <c:pt idx="30">
                  <c:v>9.35</c:v>
                </c:pt>
                <c:pt idx="31">
                  <c:v>5.0599999999999996</c:v>
                </c:pt>
                <c:pt idx="32">
                  <c:v>12</c:v>
                </c:pt>
                <c:pt idx="33">
                  <c:v>11.6</c:v>
                </c:pt>
                <c:pt idx="34">
                  <c:v>6.44</c:v>
                </c:pt>
                <c:pt idx="35">
                  <c:v>11.9</c:v>
                </c:pt>
                <c:pt idx="36">
                  <c:v>9.73</c:v>
                </c:pt>
                <c:pt idx="37">
                  <c:v>9.23</c:v>
                </c:pt>
                <c:pt idx="38">
                  <c:v>12.1</c:v>
                </c:pt>
                <c:pt idx="39">
                  <c:v>11.7</c:v>
                </c:pt>
                <c:pt idx="40">
                  <c:v>9.67</c:v>
                </c:pt>
                <c:pt idx="41">
                  <c:v>9.6199999999999992</c:v>
                </c:pt>
                <c:pt idx="42">
                  <c:v>5.21</c:v>
                </c:pt>
                <c:pt idx="43">
                  <c:v>7.07</c:v>
                </c:pt>
                <c:pt idx="44">
                  <c:v>8.18</c:v>
                </c:pt>
                <c:pt idx="45">
                  <c:v>11.3</c:v>
                </c:pt>
                <c:pt idx="46">
                  <c:v>7.55</c:v>
                </c:pt>
                <c:pt idx="47">
                  <c:v>9.99</c:v>
                </c:pt>
                <c:pt idx="48">
                  <c:v>12.1</c:v>
                </c:pt>
                <c:pt idx="49">
                  <c:v>12.8</c:v>
                </c:pt>
                <c:pt idx="50">
                  <c:v>9.24</c:v>
                </c:pt>
                <c:pt idx="51">
                  <c:v>8.7899999999999991</c:v>
                </c:pt>
                <c:pt idx="52">
                  <c:v>7.25</c:v>
                </c:pt>
                <c:pt idx="53">
                  <c:v>8.65</c:v>
                </c:pt>
                <c:pt idx="54">
                  <c:v>9.4600000000000009</c:v>
                </c:pt>
                <c:pt idx="55">
                  <c:v>12.2</c:v>
                </c:pt>
                <c:pt idx="56">
                  <c:v>12.4</c:v>
                </c:pt>
                <c:pt idx="57">
                  <c:v>9.3800000000000008</c:v>
                </c:pt>
                <c:pt idx="58">
                  <c:v>8.39</c:v>
                </c:pt>
                <c:pt idx="59">
                  <c:v>12.7</c:v>
                </c:pt>
                <c:pt idx="60">
                  <c:v>10.3</c:v>
                </c:pt>
                <c:pt idx="61">
                  <c:v>7.12</c:v>
                </c:pt>
                <c:pt idx="62">
                  <c:v>9.74</c:v>
                </c:pt>
                <c:pt idx="63">
                  <c:v>8.68</c:v>
                </c:pt>
                <c:pt idx="64">
                  <c:v>8.08</c:v>
                </c:pt>
                <c:pt idx="65">
                  <c:v>9.0399999999999991</c:v>
                </c:pt>
                <c:pt idx="66">
                  <c:v>8.1199999999999992</c:v>
                </c:pt>
                <c:pt idx="67">
                  <c:v>12.7</c:v>
                </c:pt>
                <c:pt idx="68">
                  <c:v>8.75</c:v>
                </c:pt>
                <c:pt idx="69">
                  <c:v>8.65</c:v>
                </c:pt>
                <c:pt idx="70">
                  <c:v>8.42</c:v>
                </c:pt>
                <c:pt idx="71">
                  <c:v>10</c:v>
                </c:pt>
                <c:pt idx="72">
                  <c:v>11.3</c:v>
                </c:pt>
                <c:pt idx="73">
                  <c:v>10.1</c:v>
                </c:pt>
                <c:pt idx="74">
                  <c:v>6.95</c:v>
                </c:pt>
                <c:pt idx="75">
                  <c:v>5.78</c:v>
                </c:pt>
                <c:pt idx="76">
                  <c:v>8.68</c:v>
                </c:pt>
                <c:pt idx="77">
                  <c:v>7.06</c:v>
                </c:pt>
                <c:pt idx="78">
                  <c:v>7.41</c:v>
                </c:pt>
                <c:pt idx="79">
                  <c:v>8.5399999999999991</c:v>
                </c:pt>
                <c:pt idx="80">
                  <c:v>7.21</c:v>
                </c:pt>
                <c:pt idx="81">
                  <c:v>8.89</c:v>
                </c:pt>
                <c:pt idx="82">
                  <c:v>10.6</c:v>
                </c:pt>
                <c:pt idx="83">
                  <c:v>6.94</c:v>
                </c:pt>
                <c:pt idx="84">
                  <c:v>7.95</c:v>
                </c:pt>
                <c:pt idx="85">
                  <c:v>8.6</c:v>
                </c:pt>
                <c:pt idx="86">
                  <c:v>9.33</c:v>
                </c:pt>
                <c:pt idx="87">
                  <c:v>9.8699999999999992</c:v>
                </c:pt>
                <c:pt idx="88">
                  <c:v>5.96</c:v>
                </c:pt>
                <c:pt idx="89">
                  <c:v>7.33</c:v>
                </c:pt>
                <c:pt idx="90">
                  <c:v>12.1</c:v>
                </c:pt>
                <c:pt idx="91">
                  <c:v>9.2200000000000006</c:v>
                </c:pt>
                <c:pt idx="92">
                  <c:v>9.98</c:v>
                </c:pt>
                <c:pt idx="93">
                  <c:v>7.59</c:v>
                </c:pt>
                <c:pt idx="94">
                  <c:v>8.74</c:v>
                </c:pt>
                <c:pt idx="95">
                  <c:v>12</c:v>
                </c:pt>
                <c:pt idx="96">
                  <c:v>9.2100000000000009</c:v>
                </c:pt>
                <c:pt idx="97">
                  <c:v>5.61</c:v>
                </c:pt>
                <c:pt idx="98">
                  <c:v>9.23</c:v>
                </c:pt>
                <c:pt idx="99">
                  <c:v>9.25</c:v>
                </c:pt>
                <c:pt idx="100">
                  <c:v>9.69</c:v>
                </c:pt>
                <c:pt idx="101">
                  <c:v>4.08</c:v>
                </c:pt>
                <c:pt idx="102">
                  <c:v>10.7</c:v>
                </c:pt>
                <c:pt idx="103">
                  <c:v>6.84</c:v>
                </c:pt>
                <c:pt idx="104">
                  <c:v>9.94</c:v>
                </c:pt>
                <c:pt idx="105">
                  <c:v>9.27</c:v>
                </c:pt>
                <c:pt idx="106">
                  <c:v>9.77</c:v>
                </c:pt>
                <c:pt idx="107">
                  <c:v>8.11</c:v>
                </c:pt>
                <c:pt idx="108">
                  <c:v>7.69</c:v>
                </c:pt>
                <c:pt idx="109">
                  <c:v>9.9499999999999993</c:v>
                </c:pt>
                <c:pt idx="110">
                  <c:v>9.49</c:v>
                </c:pt>
                <c:pt idx="111">
                  <c:v>7.36</c:v>
                </c:pt>
                <c:pt idx="112">
                  <c:v>5.96</c:v>
                </c:pt>
                <c:pt idx="113">
                  <c:v>8.2200000000000006</c:v>
                </c:pt>
                <c:pt idx="114">
                  <c:v>9.93</c:v>
                </c:pt>
                <c:pt idx="115">
                  <c:v>5.99</c:v>
                </c:pt>
                <c:pt idx="116">
                  <c:v>9.57</c:v>
                </c:pt>
                <c:pt idx="117">
                  <c:v>10.6</c:v>
                </c:pt>
                <c:pt idx="118">
                  <c:v>6.75</c:v>
                </c:pt>
                <c:pt idx="119">
                  <c:v>9.3800000000000008</c:v>
                </c:pt>
                <c:pt idx="120">
                  <c:v>8.65</c:v>
                </c:pt>
                <c:pt idx="121">
                  <c:v>6.74</c:v>
                </c:pt>
                <c:pt idx="122">
                  <c:v>9.6</c:v>
                </c:pt>
                <c:pt idx="123">
                  <c:v>12.2</c:v>
                </c:pt>
                <c:pt idx="124">
                  <c:v>8.9600000000000009</c:v>
                </c:pt>
                <c:pt idx="125">
                  <c:v>6.63</c:v>
                </c:pt>
                <c:pt idx="126">
                  <c:v>8.02</c:v>
                </c:pt>
                <c:pt idx="127">
                  <c:v>11.9</c:v>
                </c:pt>
                <c:pt idx="128">
                  <c:v>9.3000000000000007</c:v>
                </c:pt>
                <c:pt idx="129">
                  <c:v>9.15</c:v>
                </c:pt>
                <c:pt idx="130">
                  <c:v>9.99</c:v>
                </c:pt>
                <c:pt idx="131">
                  <c:v>9.9600000000000009</c:v>
                </c:pt>
                <c:pt idx="132">
                  <c:v>9.02</c:v>
                </c:pt>
                <c:pt idx="133">
                  <c:v>6.27</c:v>
                </c:pt>
                <c:pt idx="134">
                  <c:v>11.8</c:v>
                </c:pt>
                <c:pt idx="135">
                  <c:v>5.86</c:v>
                </c:pt>
                <c:pt idx="136">
                  <c:v>9.8699999999999992</c:v>
                </c:pt>
                <c:pt idx="137">
                  <c:v>9.0500000000000007</c:v>
                </c:pt>
                <c:pt idx="138">
                  <c:v>9.31</c:v>
                </c:pt>
                <c:pt idx="139">
                  <c:v>5.67</c:v>
                </c:pt>
                <c:pt idx="140">
                  <c:v>9.91</c:v>
                </c:pt>
                <c:pt idx="141">
                  <c:v>8.19</c:v>
                </c:pt>
                <c:pt idx="142">
                  <c:v>9.58</c:v>
                </c:pt>
                <c:pt idx="143">
                  <c:v>9.24</c:v>
                </c:pt>
                <c:pt idx="144">
                  <c:v>5.74</c:v>
                </c:pt>
                <c:pt idx="145">
                  <c:v>7.18</c:v>
                </c:pt>
                <c:pt idx="146">
                  <c:v>8.1</c:v>
                </c:pt>
                <c:pt idx="147">
                  <c:v>8.92</c:v>
                </c:pt>
                <c:pt idx="148">
                  <c:v>10.9</c:v>
                </c:pt>
                <c:pt idx="149">
                  <c:v>9.0299999999999994</c:v>
                </c:pt>
                <c:pt idx="150">
                  <c:v>8.24</c:v>
                </c:pt>
                <c:pt idx="151">
                  <c:v>6.56</c:v>
                </c:pt>
                <c:pt idx="152">
                  <c:v>9.2799999999999994</c:v>
                </c:pt>
                <c:pt idx="153">
                  <c:v>4.4400000000000004</c:v>
                </c:pt>
                <c:pt idx="154">
                  <c:v>9.1999999999999993</c:v>
                </c:pt>
                <c:pt idx="155">
                  <c:v>4.96</c:v>
                </c:pt>
                <c:pt idx="156">
                  <c:v>6.91</c:v>
                </c:pt>
                <c:pt idx="157">
                  <c:v>4.78</c:v>
                </c:pt>
                <c:pt idx="158">
                  <c:v>8.83</c:v>
                </c:pt>
                <c:pt idx="159">
                  <c:v>6.5</c:v>
                </c:pt>
                <c:pt idx="160">
                  <c:v>7.38</c:v>
                </c:pt>
                <c:pt idx="161">
                  <c:v>9.99</c:v>
                </c:pt>
                <c:pt idx="162">
                  <c:v>9.42</c:v>
                </c:pt>
                <c:pt idx="163">
                  <c:v>7.73</c:v>
                </c:pt>
                <c:pt idx="164">
                  <c:v>9.4700000000000006</c:v>
                </c:pt>
                <c:pt idx="165">
                  <c:v>7.54</c:v>
                </c:pt>
                <c:pt idx="166">
                  <c:v>11.8</c:v>
                </c:pt>
                <c:pt idx="167">
                  <c:v>6.86</c:v>
                </c:pt>
                <c:pt idx="168">
                  <c:v>8.14</c:v>
                </c:pt>
                <c:pt idx="169">
                  <c:v>5.58</c:v>
                </c:pt>
                <c:pt idx="170">
                  <c:v>6.68</c:v>
                </c:pt>
                <c:pt idx="171">
                  <c:v>9.23</c:v>
                </c:pt>
                <c:pt idx="172">
                  <c:v>9.73</c:v>
                </c:pt>
                <c:pt idx="173">
                  <c:v>5.05</c:v>
                </c:pt>
                <c:pt idx="174">
                  <c:v>8.7100000000000009</c:v>
                </c:pt>
                <c:pt idx="175">
                  <c:v>9.18</c:v>
                </c:pt>
                <c:pt idx="176">
                  <c:v>7.57</c:v>
                </c:pt>
                <c:pt idx="177">
                  <c:v>7.6</c:v>
                </c:pt>
                <c:pt idx="178">
                  <c:v>5.05</c:v>
                </c:pt>
                <c:pt idx="179">
                  <c:v>9.1999999999999993</c:v>
                </c:pt>
                <c:pt idx="180">
                  <c:v>6.32</c:v>
                </c:pt>
                <c:pt idx="181">
                  <c:v>6.78</c:v>
                </c:pt>
                <c:pt idx="182">
                  <c:v>8.8800000000000008</c:v>
                </c:pt>
                <c:pt idx="183">
                  <c:v>9.5299999999999994</c:v>
                </c:pt>
                <c:pt idx="184">
                  <c:v>8.74</c:v>
                </c:pt>
                <c:pt idx="185">
                  <c:v>8.69</c:v>
                </c:pt>
                <c:pt idx="186">
                  <c:v>8.39</c:v>
                </c:pt>
                <c:pt idx="187">
                  <c:v>9.19</c:v>
                </c:pt>
                <c:pt idx="188">
                  <c:v>8.98</c:v>
                </c:pt>
                <c:pt idx="189">
                  <c:v>9.1999999999999993</c:v>
                </c:pt>
                <c:pt idx="190">
                  <c:v>8.93</c:v>
                </c:pt>
                <c:pt idx="191">
                  <c:v>9.86</c:v>
                </c:pt>
                <c:pt idx="192">
                  <c:v>8.1199999999999992</c:v>
                </c:pt>
                <c:pt idx="193">
                  <c:v>5.73</c:v>
                </c:pt>
                <c:pt idx="194">
                  <c:v>6.93</c:v>
                </c:pt>
                <c:pt idx="195">
                  <c:v>7.33</c:v>
                </c:pt>
                <c:pt idx="196">
                  <c:v>7.81</c:v>
                </c:pt>
                <c:pt idx="197">
                  <c:v>6.16</c:v>
                </c:pt>
                <c:pt idx="198">
                  <c:v>9.59</c:v>
                </c:pt>
                <c:pt idx="199">
                  <c:v>5.61</c:v>
                </c:pt>
                <c:pt idx="200">
                  <c:v>8.6199999999999992</c:v>
                </c:pt>
                <c:pt idx="201">
                  <c:v>8.19</c:v>
                </c:pt>
                <c:pt idx="202">
                  <c:v>6.71</c:v>
                </c:pt>
                <c:pt idx="203">
                  <c:v>8.7200000000000006</c:v>
                </c:pt>
                <c:pt idx="204">
                  <c:v>6.16</c:v>
                </c:pt>
                <c:pt idx="205">
                  <c:v>8.34</c:v>
                </c:pt>
                <c:pt idx="206">
                  <c:v>9.33</c:v>
                </c:pt>
                <c:pt idx="207">
                  <c:v>5.5</c:v>
                </c:pt>
                <c:pt idx="208">
                  <c:v>5.34</c:v>
                </c:pt>
                <c:pt idx="209">
                  <c:v>7.68</c:v>
                </c:pt>
                <c:pt idx="210">
                  <c:v>6.81</c:v>
                </c:pt>
                <c:pt idx="211">
                  <c:v>4.0199999999999996</c:v>
                </c:pt>
                <c:pt idx="212">
                  <c:v>7.66</c:v>
                </c:pt>
                <c:pt idx="213">
                  <c:v>7.37</c:v>
                </c:pt>
                <c:pt idx="214">
                  <c:v>7.66</c:v>
                </c:pt>
                <c:pt idx="215">
                  <c:v>6.46</c:v>
                </c:pt>
                <c:pt idx="216">
                  <c:v>8.4700000000000006</c:v>
                </c:pt>
                <c:pt idx="217">
                  <c:v>9.15</c:v>
                </c:pt>
                <c:pt idx="218">
                  <c:v>8.6300000000000008</c:v>
                </c:pt>
                <c:pt idx="219">
                  <c:v>8.44</c:v>
                </c:pt>
                <c:pt idx="220">
                  <c:v>8.8000000000000007</c:v>
                </c:pt>
                <c:pt idx="221">
                  <c:v>8.6</c:v>
                </c:pt>
                <c:pt idx="222">
                  <c:v>9.02</c:v>
                </c:pt>
                <c:pt idx="223">
                  <c:v>9.0299999999999994</c:v>
                </c:pt>
                <c:pt idx="224">
                  <c:v>5.59</c:v>
                </c:pt>
                <c:pt idx="225">
                  <c:v>8.7200000000000006</c:v>
                </c:pt>
                <c:pt idx="226">
                  <c:v>9.07</c:v>
                </c:pt>
                <c:pt idx="227">
                  <c:v>7.88</c:v>
                </c:pt>
                <c:pt idx="228">
                  <c:v>4.78</c:v>
                </c:pt>
                <c:pt idx="229">
                  <c:v>6.73</c:v>
                </c:pt>
                <c:pt idx="230">
                  <c:v>9.06</c:v>
                </c:pt>
                <c:pt idx="231">
                  <c:v>9.2100000000000009</c:v>
                </c:pt>
                <c:pt idx="232">
                  <c:v>6.36</c:v>
                </c:pt>
                <c:pt idx="233">
                  <c:v>7.71</c:v>
                </c:pt>
                <c:pt idx="234">
                  <c:v>8.68</c:v>
                </c:pt>
                <c:pt idx="235">
                  <c:v>13</c:v>
                </c:pt>
                <c:pt idx="236">
                  <c:v>1.8</c:v>
                </c:pt>
                <c:pt idx="237">
                  <c:v>6.05</c:v>
                </c:pt>
                <c:pt idx="238">
                  <c:v>5.79</c:v>
                </c:pt>
                <c:pt idx="239">
                  <c:v>11.1</c:v>
                </c:pt>
                <c:pt idx="240">
                  <c:v>9.07</c:v>
                </c:pt>
                <c:pt idx="241">
                  <c:v>9.56</c:v>
                </c:pt>
                <c:pt idx="242">
                  <c:v>9.6199999999999992</c:v>
                </c:pt>
                <c:pt idx="243">
                  <c:v>6.51</c:v>
                </c:pt>
                <c:pt idx="244">
                  <c:v>6.64</c:v>
                </c:pt>
                <c:pt idx="245">
                  <c:v>5.36</c:v>
                </c:pt>
                <c:pt idx="246">
                  <c:v>6.03</c:v>
                </c:pt>
                <c:pt idx="247">
                  <c:v>9.25</c:v>
                </c:pt>
                <c:pt idx="248">
                  <c:v>8.52</c:v>
                </c:pt>
                <c:pt idx="249">
                  <c:v>8.6999999999999993</c:v>
                </c:pt>
                <c:pt idx="250">
                  <c:v>6.69</c:v>
                </c:pt>
                <c:pt idx="251">
                  <c:v>7.98</c:v>
                </c:pt>
                <c:pt idx="252">
                  <c:v>7.73</c:v>
                </c:pt>
                <c:pt idx="253">
                  <c:v>7.91</c:v>
                </c:pt>
                <c:pt idx="254">
                  <c:v>8.85</c:v>
                </c:pt>
                <c:pt idx="255">
                  <c:v>7.3</c:v>
                </c:pt>
                <c:pt idx="256">
                  <c:v>7.9</c:v>
                </c:pt>
                <c:pt idx="257">
                  <c:v>8.64</c:v>
                </c:pt>
                <c:pt idx="258">
                  <c:v>8.1</c:v>
                </c:pt>
                <c:pt idx="259">
                  <c:v>6.96</c:v>
                </c:pt>
                <c:pt idx="260">
                  <c:v>4.62</c:v>
                </c:pt>
                <c:pt idx="261">
                  <c:v>6.21</c:v>
                </c:pt>
                <c:pt idx="262">
                  <c:v>8.17</c:v>
                </c:pt>
                <c:pt idx="263">
                  <c:v>6.09</c:v>
                </c:pt>
                <c:pt idx="264">
                  <c:v>9.18</c:v>
                </c:pt>
                <c:pt idx="265">
                  <c:v>4.93</c:v>
                </c:pt>
                <c:pt idx="266">
                  <c:v>5.65</c:v>
                </c:pt>
                <c:pt idx="267">
                  <c:v>9.99</c:v>
                </c:pt>
                <c:pt idx="268">
                  <c:v>7.27</c:v>
                </c:pt>
                <c:pt idx="269">
                  <c:v>4.5</c:v>
                </c:pt>
                <c:pt idx="270">
                  <c:v>6.57</c:v>
                </c:pt>
                <c:pt idx="271">
                  <c:v>6.81</c:v>
                </c:pt>
                <c:pt idx="272">
                  <c:v>6.72</c:v>
                </c:pt>
                <c:pt idx="273">
                  <c:v>11.6</c:v>
                </c:pt>
                <c:pt idx="274">
                  <c:v>8.44</c:v>
                </c:pt>
                <c:pt idx="275">
                  <c:v>8.31</c:v>
                </c:pt>
                <c:pt idx="276">
                  <c:v>7.84</c:v>
                </c:pt>
                <c:pt idx="277">
                  <c:v>7.52</c:v>
                </c:pt>
                <c:pt idx="278">
                  <c:v>9.27</c:v>
                </c:pt>
                <c:pt idx="279">
                  <c:v>6.49</c:v>
                </c:pt>
                <c:pt idx="280">
                  <c:v>6.38</c:v>
                </c:pt>
                <c:pt idx="281">
                  <c:v>6.96</c:v>
                </c:pt>
                <c:pt idx="282">
                  <c:v>5.12</c:v>
                </c:pt>
                <c:pt idx="283">
                  <c:v>7.3</c:v>
                </c:pt>
                <c:pt idx="284">
                  <c:v>9.66</c:v>
                </c:pt>
                <c:pt idx="285">
                  <c:v>11</c:v>
                </c:pt>
                <c:pt idx="286">
                  <c:v>5.61</c:v>
                </c:pt>
                <c:pt idx="287">
                  <c:v>5.88</c:v>
                </c:pt>
                <c:pt idx="288">
                  <c:v>8.14</c:v>
                </c:pt>
                <c:pt idx="289">
                  <c:v>2.8</c:v>
                </c:pt>
                <c:pt idx="290">
                  <c:v>6.65</c:v>
                </c:pt>
                <c:pt idx="291">
                  <c:v>7.27</c:v>
                </c:pt>
                <c:pt idx="292">
                  <c:v>7.28</c:v>
                </c:pt>
                <c:pt idx="293">
                  <c:v>4.78</c:v>
                </c:pt>
                <c:pt idx="294">
                  <c:v>7.45</c:v>
                </c:pt>
                <c:pt idx="295">
                  <c:v>9.91</c:v>
                </c:pt>
                <c:pt idx="296">
                  <c:v>4.88</c:v>
                </c:pt>
                <c:pt idx="297">
                  <c:v>6.85</c:v>
                </c:pt>
                <c:pt idx="298">
                  <c:v>8.02</c:v>
                </c:pt>
                <c:pt idx="299">
                  <c:v>8.49</c:v>
                </c:pt>
                <c:pt idx="300">
                  <c:v>8</c:v>
                </c:pt>
                <c:pt idx="301">
                  <c:v>9.2100000000000009</c:v>
                </c:pt>
                <c:pt idx="302">
                  <c:v>7.31</c:v>
                </c:pt>
                <c:pt idx="303">
                  <c:v>7.22</c:v>
                </c:pt>
                <c:pt idx="304">
                  <c:v>6.8</c:v>
                </c:pt>
                <c:pt idx="305">
                  <c:v>8.7799999999999994</c:v>
                </c:pt>
                <c:pt idx="306">
                  <c:v>4.6900000000000004</c:v>
                </c:pt>
                <c:pt idx="307">
                  <c:v>7.93</c:v>
                </c:pt>
                <c:pt idx="308">
                  <c:v>6.28</c:v>
                </c:pt>
                <c:pt idx="309">
                  <c:v>5.67</c:v>
                </c:pt>
                <c:pt idx="310">
                  <c:v>5.53</c:v>
                </c:pt>
                <c:pt idx="311">
                  <c:v>9.44</c:v>
                </c:pt>
                <c:pt idx="312">
                  <c:v>6.96</c:v>
                </c:pt>
                <c:pt idx="313">
                  <c:v>9.01</c:v>
                </c:pt>
                <c:pt idx="314">
                  <c:v>7.7</c:v>
                </c:pt>
                <c:pt idx="315">
                  <c:v>4.1500000000000004</c:v>
                </c:pt>
                <c:pt idx="316">
                  <c:v>6.54</c:v>
                </c:pt>
                <c:pt idx="317">
                  <c:v>8.2200000000000006</c:v>
                </c:pt>
                <c:pt idx="318">
                  <c:v>9</c:v>
                </c:pt>
                <c:pt idx="319">
                  <c:v>4.8499999999999996</c:v>
                </c:pt>
                <c:pt idx="320">
                  <c:v>6.45</c:v>
                </c:pt>
                <c:pt idx="321">
                  <c:v>9.17</c:v>
                </c:pt>
                <c:pt idx="322">
                  <c:v>8.6199999999999992</c:v>
                </c:pt>
                <c:pt idx="323">
                  <c:v>6.76</c:v>
                </c:pt>
                <c:pt idx="324">
                  <c:v>6.27</c:v>
                </c:pt>
                <c:pt idx="325">
                  <c:v>6.25</c:v>
                </c:pt>
                <c:pt idx="326">
                  <c:v>5.18</c:v>
                </c:pt>
                <c:pt idx="327">
                  <c:v>4</c:v>
                </c:pt>
                <c:pt idx="328">
                  <c:v>3</c:v>
                </c:pt>
                <c:pt idx="329">
                  <c:v>6.97</c:v>
                </c:pt>
                <c:pt idx="330">
                  <c:v>6.28</c:v>
                </c:pt>
                <c:pt idx="331">
                  <c:v>5.59</c:v>
                </c:pt>
                <c:pt idx="332">
                  <c:v>9.3000000000000007</c:v>
                </c:pt>
                <c:pt idx="333">
                  <c:v>5.0999999999999996</c:v>
                </c:pt>
                <c:pt idx="334">
                  <c:v>7.59</c:v>
                </c:pt>
                <c:pt idx="335">
                  <c:v>7.67</c:v>
                </c:pt>
                <c:pt idx="336">
                  <c:v>4.76</c:v>
                </c:pt>
                <c:pt idx="337">
                  <c:v>4.24</c:v>
                </c:pt>
                <c:pt idx="338">
                  <c:v>7.37</c:v>
                </c:pt>
                <c:pt idx="339">
                  <c:v>9.58</c:v>
                </c:pt>
                <c:pt idx="340">
                  <c:v>9.5299999999999994</c:v>
                </c:pt>
                <c:pt idx="341">
                  <c:v>4.67</c:v>
                </c:pt>
                <c:pt idx="342">
                  <c:v>6.69</c:v>
                </c:pt>
                <c:pt idx="343">
                  <c:v>5.87</c:v>
                </c:pt>
                <c:pt idx="344">
                  <c:v>7.69</c:v>
                </c:pt>
                <c:pt idx="345">
                  <c:v>6.99</c:v>
                </c:pt>
                <c:pt idx="346">
                  <c:v>7.45</c:v>
                </c:pt>
                <c:pt idx="347">
                  <c:v>7.31</c:v>
                </c:pt>
                <c:pt idx="348">
                  <c:v>12.2</c:v>
                </c:pt>
                <c:pt idx="349">
                  <c:v>7.33</c:v>
                </c:pt>
                <c:pt idx="350">
                  <c:v>5.98</c:v>
                </c:pt>
                <c:pt idx="351">
                  <c:v>7.34</c:v>
                </c:pt>
                <c:pt idx="352">
                  <c:v>7.21</c:v>
                </c:pt>
                <c:pt idx="353">
                  <c:v>5.83</c:v>
                </c:pt>
                <c:pt idx="354">
                  <c:v>8.39</c:v>
                </c:pt>
                <c:pt idx="355">
                  <c:v>5.66</c:v>
                </c:pt>
                <c:pt idx="356">
                  <c:v>11.4</c:v>
                </c:pt>
                <c:pt idx="357">
                  <c:v>5.91</c:v>
                </c:pt>
                <c:pt idx="358">
                  <c:v>6.34</c:v>
                </c:pt>
                <c:pt idx="359">
                  <c:v>7.98</c:v>
                </c:pt>
                <c:pt idx="360">
                  <c:v>7.46</c:v>
                </c:pt>
                <c:pt idx="361">
                  <c:v>9.25</c:v>
                </c:pt>
                <c:pt idx="362">
                  <c:v>6.65</c:v>
                </c:pt>
                <c:pt idx="363">
                  <c:v>6.82</c:v>
                </c:pt>
                <c:pt idx="364">
                  <c:v>8.86</c:v>
                </c:pt>
                <c:pt idx="365">
                  <c:v>6.17</c:v>
                </c:pt>
                <c:pt idx="366">
                  <c:v>6.66</c:v>
                </c:pt>
                <c:pt idx="367">
                  <c:v>6.06</c:v>
                </c:pt>
                <c:pt idx="368">
                  <c:v>9.66</c:v>
                </c:pt>
                <c:pt idx="369">
                  <c:v>6.09</c:v>
                </c:pt>
                <c:pt idx="370">
                  <c:v>9.27</c:v>
                </c:pt>
                <c:pt idx="371">
                  <c:v>7.87</c:v>
                </c:pt>
                <c:pt idx="372">
                  <c:v>5.96</c:v>
                </c:pt>
                <c:pt idx="373">
                  <c:v>7.11</c:v>
                </c:pt>
                <c:pt idx="374">
                  <c:v>6.43</c:v>
                </c:pt>
                <c:pt idx="375">
                  <c:v>6.24</c:v>
                </c:pt>
                <c:pt idx="376">
                  <c:v>5.91</c:v>
                </c:pt>
                <c:pt idx="377">
                  <c:v>6.85</c:v>
                </c:pt>
                <c:pt idx="378">
                  <c:v>7.58</c:v>
                </c:pt>
                <c:pt idx="379">
                  <c:v>6.63</c:v>
                </c:pt>
                <c:pt idx="380">
                  <c:v>7.52</c:v>
                </c:pt>
                <c:pt idx="381">
                  <c:v>6.65</c:v>
                </c:pt>
                <c:pt idx="382">
                  <c:v>6.06</c:v>
                </c:pt>
                <c:pt idx="383">
                  <c:v>8.41</c:v>
                </c:pt>
                <c:pt idx="384">
                  <c:v>6.99</c:v>
                </c:pt>
                <c:pt idx="385">
                  <c:v>7.75</c:v>
                </c:pt>
                <c:pt idx="386">
                  <c:v>7.7</c:v>
                </c:pt>
                <c:pt idx="387">
                  <c:v>6.23</c:v>
                </c:pt>
                <c:pt idx="388">
                  <c:v>8.08</c:v>
                </c:pt>
                <c:pt idx="389">
                  <c:v>7.31</c:v>
                </c:pt>
                <c:pt idx="390">
                  <c:v>4.87</c:v>
                </c:pt>
                <c:pt idx="391">
                  <c:v>8.9700000000000006</c:v>
                </c:pt>
                <c:pt idx="392">
                  <c:v>5.93</c:v>
                </c:pt>
                <c:pt idx="393">
                  <c:v>9.65</c:v>
                </c:pt>
                <c:pt idx="394">
                  <c:v>7.42</c:v>
                </c:pt>
                <c:pt idx="395">
                  <c:v>5.36</c:v>
                </c:pt>
                <c:pt idx="396">
                  <c:v>7.93</c:v>
                </c:pt>
                <c:pt idx="397">
                  <c:v>5.45</c:v>
                </c:pt>
                <c:pt idx="398">
                  <c:v>7.97</c:v>
                </c:pt>
                <c:pt idx="399">
                  <c:v>4.22</c:v>
                </c:pt>
                <c:pt idx="400">
                  <c:v>6.91</c:v>
                </c:pt>
                <c:pt idx="401">
                  <c:v>8.61</c:v>
                </c:pt>
                <c:pt idx="402">
                  <c:v>6.59</c:v>
                </c:pt>
                <c:pt idx="403">
                  <c:v>6.06</c:v>
                </c:pt>
                <c:pt idx="404">
                  <c:v>5.15</c:v>
                </c:pt>
                <c:pt idx="405">
                  <c:v>4.3</c:v>
                </c:pt>
                <c:pt idx="406">
                  <c:v>6.64</c:v>
                </c:pt>
                <c:pt idx="407">
                  <c:v>5.45</c:v>
                </c:pt>
                <c:pt idx="408">
                  <c:v>7.46</c:v>
                </c:pt>
                <c:pt idx="409">
                  <c:v>6.34</c:v>
                </c:pt>
                <c:pt idx="410">
                  <c:v>6.82</c:v>
                </c:pt>
                <c:pt idx="411">
                  <c:v>5.31</c:v>
                </c:pt>
                <c:pt idx="412">
                  <c:v>7.21</c:v>
                </c:pt>
                <c:pt idx="413">
                  <c:v>9.1</c:v>
                </c:pt>
                <c:pt idx="414">
                  <c:v>2.2999999999999998</c:v>
                </c:pt>
                <c:pt idx="415">
                  <c:v>3.5</c:v>
                </c:pt>
                <c:pt idx="416">
                  <c:v>6.82</c:v>
                </c:pt>
                <c:pt idx="417">
                  <c:v>9.8800000000000008</c:v>
                </c:pt>
                <c:pt idx="418">
                  <c:v>10.6</c:v>
                </c:pt>
                <c:pt idx="419">
                  <c:v>5.34</c:v>
                </c:pt>
                <c:pt idx="420">
                  <c:v>4.04</c:v>
                </c:pt>
                <c:pt idx="421">
                  <c:v>4.6399999999999997</c:v>
                </c:pt>
                <c:pt idx="422">
                  <c:v>5.88</c:v>
                </c:pt>
                <c:pt idx="423">
                  <c:v>7.31</c:v>
                </c:pt>
                <c:pt idx="424">
                  <c:v>5.15</c:v>
                </c:pt>
                <c:pt idx="425">
                  <c:v>6.22</c:v>
                </c:pt>
                <c:pt idx="426">
                  <c:v>5.63</c:v>
                </c:pt>
                <c:pt idx="427">
                  <c:v>9.75</c:v>
                </c:pt>
                <c:pt idx="428">
                  <c:v>4.75</c:v>
                </c:pt>
                <c:pt idx="429">
                  <c:v>5.0999999999999996</c:v>
                </c:pt>
                <c:pt idx="430">
                  <c:v>5.86</c:v>
                </c:pt>
                <c:pt idx="431">
                  <c:v>3.9</c:v>
                </c:pt>
                <c:pt idx="432">
                  <c:v>6.55</c:v>
                </c:pt>
                <c:pt idx="433">
                  <c:v>6.92</c:v>
                </c:pt>
                <c:pt idx="434">
                  <c:v>4.3</c:v>
                </c:pt>
                <c:pt idx="435">
                  <c:v>5.58</c:v>
                </c:pt>
                <c:pt idx="436">
                  <c:v>8.2899999999999991</c:v>
                </c:pt>
                <c:pt idx="437">
                  <c:v>6.33</c:v>
                </c:pt>
                <c:pt idx="438">
                  <c:v>9.9600000000000009</c:v>
                </c:pt>
                <c:pt idx="439">
                  <c:v>5.38</c:v>
                </c:pt>
                <c:pt idx="440">
                  <c:v>3.8</c:v>
                </c:pt>
                <c:pt idx="441">
                  <c:v>4.34</c:v>
                </c:pt>
                <c:pt idx="442">
                  <c:v>6.46</c:v>
                </c:pt>
                <c:pt idx="443">
                  <c:v>7.6</c:v>
                </c:pt>
                <c:pt idx="444">
                  <c:v>5.67</c:v>
                </c:pt>
                <c:pt idx="445">
                  <c:v>6.67</c:v>
                </c:pt>
                <c:pt idx="446">
                  <c:v>4.68</c:v>
                </c:pt>
                <c:pt idx="447">
                  <c:v>8.94</c:v>
                </c:pt>
                <c:pt idx="448">
                  <c:v>4.68</c:v>
                </c:pt>
                <c:pt idx="449">
                  <c:v>7.48</c:v>
                </c:pt>
                <c:pt idx="450">
                  <c:v>5.47</c:v>
                </c:pt>
                <c:pt idx="451">
                  <c:v>6.12</c:v>
                </c:pt>
                <c:pt idx="452">
                  <c:v>5.97</c:v>
                </c:pt>
                <c:pt idx="453">
                  <c:v>4.1500000000000004</c:v>
                </c:pt>
                <c:pt idx="454">
                  <c:v>5.7</c:v>
                </c:pt>
                <c:pt idx="455">
                  <c:v>6.15</c:v>
                </c:pt>
                <c:pt idx="456">
                  <c:v>7.05</c:v>
                </c:pt>
                <c:pt idx="457">
                  <c:v>5.66</c:v>
                </c:pt>
                <c:pt idx="458">
                  <c:v>3.6</c:v>
                </c:pt>
                <c:pt idx="459">
                  <c:v>7.19</c:v>
                </c:pt>
                <c:pt idx="460">
                  <c:v>5.22</c:v>
                </c:pt>
                <c:pt idx="461">
                  <c:v>7.07</c:v>
                </c:pt>
                <c:pt idx="462">
                  <c:v>2.4</c:v>
                </c:pt>
                <c:pt idx="463">
                  <c:v>6.96</c:v>
                </c:pt>
                <c:pt idx="464">
                  <c:v>9.5</c:v>
                </c:pt>
                <c:pt idx="465">
                  <c:v>7.37</c:v>
                </c:pt>
                <c:pt idx="466">
                  <c:v>4.05</c:v>
                </c:pt>
                <c:pt idx="467">
                  <c:v>6.7</c:v>
                </c:pt>
                <c:pt idx="468">
                  <c:v>6.33</c:v>
                </c:pt>
                <c:pt idx="469">
                  <c:v>5.46</c:v>
                </c:pt>
                <c:pt idx="470">
                  <c:v>5.68</c:v>
                </c:pt>
                <c:pt idx="471">
                  <c:v>8.98</c:v>
                </c:pt>
                <c:pt idx="472">
                  <c:v>8.91</c:v>
                </c:pt>
                <c:pt idx="473">
                  <c:v>5.0999999999999996</c:v>
                </c:pt>
                <c:pt idx="474">
                  <c:v>5.61</c:v>
                </c:pt>
                <c:pt idx="475">
                  <c:v>5.44</c:v>
                </c:pt>
                <c:pt idx="476">
                  <c:v>4.5599999999999996</c:v>
                </c:pt>
                <c:pt idx="477">
                  <c:v>5.14</c:v>
                </c:pt>
                <c:pt idx="478">
                  <c:v>5.29</c:v>
                </c:pt>
                <c:pt idx="479">
                  <c:v>5.77</c:v>
                </c:pt>
                <c:pt idx="480">
                  <c:v>5.38</c:v>
                </c:pt>
                <c:pt idx="481">
                  <c:v>8.27</c:v>
                </c:pt>
                <c:pt idx="482">
                  <c:v>4.88</c:v>
                </c:pt>
                <c:pt idx="483">
                  <c:v>4.6900000000000004</c:v>
                </c:pt>
                <c:pt idx="484">
                  <c:v>5.64</c:v>
                </c:pt>
                <c:pt idx="485">
                  <c:v>4.5199999999999996</c:v>
                </c:pt>
                <c:pt idx="486">
                  <c:v>4.57</c:v>
                </c:pt>
                <c:pt idx="487">
                  <c:v>4.1500000000000004</c:v>
                </c:pt>
                <c:pt idx="488">
                  <c:v>10.199999999999999</c:v>
                </c:pt>
                <c:pt idx="489">
                  <c:v>5.47</c:v>
                </c:pt>
                <c:pt idx="490">
                  <c:v>4.24</c:v>
                </c:pt>
                <c:pt idx="491">
                  <c:v>6.41</c:v>
                </c:pt>
                <c:pt idx="492">
                  <c:v>5.05</c:v>
                </c:pt>
                <c:pt idx="493">
                  <c:v>4.84</c:v>
                </c:pt>
                <c:pt idx="494">
                  <c:v>6.02</c:v>
                </c:pt>
                <c:pt idx="495">
                  <c:v>5.93</c:v>
                </c:pt>
                <c:pt idx="496">
                  <c:v>3.8</c:v>
                </c:pt>
                <c:pt idx="497">
                  <c:v>5.25</c:v>
                </c:pt>
                <c:pt idx="498">
                  <c:v>6.73</c:v>
                </c:pt>
                <c:pt idx="499">
                  <c:v>5.39</c:v>
                </c:pt>
                <c:pt idx="500">
                  <c:v>5.41</c:v>
                </c:pt>
                <c:pt idx="501">
                  <c:v>5.47</c:v>
                </c:pt>
                <c:pt idx="502">
                  <c:v>7.81</c:v>
                </c:pt>
                <c:pt idx="503">
                  <c:v>4.7</c:v>
                </c:pt>
                <c:pt idx="504">
                  <c:v>4.2</c:v>
                </c:pt>
                <c:pt idx="505">
                  <c:v>6.5</c:v>
                </c:pt>
                <c:pt idx="506">
                  <c:v>4.59</c:v>
                </c:pt>
                <c:pt idx="507">
                  <c:v>4.55</c:v>
                </c:pt>
                <c:pt idx="508">
                  <c:v>4.03</c:v>
                </c:pt>
                <c:pt idx="509">
                  <c:v>7.58</c:v>
                </c:pt>
                <c:pt idx="510">
                  <c:v>4.93</c:v>
                </c:pt>
                <c:pt idx="511">
                  <c:v>4.38</c:v>
                </c:pt>
                <c:pt idx="512">
                  <c:v>8.6</c:v>
                </c:pt>
                <c:pt idx="513">
                  <c:v>4.7699999999999996</c:v>
                </c:pt>
                <c:pt idx="514">
                  <c:v>6.16</c:v>
                </c:pt>
                <c:pt idx="515">
                  <c:v>4.26</c:v>
                </c:pt>
                <c:pt idx="516">
                  <c:v>5.79</c:v>
                </c:pt>
                <c:pt idx="517">
                  <c:v>5.35</c:v>
                </c:pt>
                <c:pt idx="518">
                  <c:v>3.3</c:v>
                </c:pt>
                <c:pt idx="519">
                  <c:v>2.6</c:v>
                </c:pt>
                <c:pt idx="520">
                  <c:v>5.56</c:v>
                </c:pt>
                <c:pt idx="521">
                  <c:v>4.28</c:v>
                </c:pt>
                <c:pt idx="522">
                  <c:v>2.1</c:v>
                </c:pt>
                <c:pt idx="523">
                  <c:v>9.85</c:v>
                </c:pt>
                <c:pt idx="524">
                  <c:v>4.99</c:v>
                </c:pt>
                <c:pt idx="525">
                  <c:v>8.6</c:v>
                </c:pt>
                <c:pt idx="526">
                  <c:v>2.6</c:v>
                </c:pt>
                <c:pt idx="527">
                  <c:v>5.24</c:v>
                </c:pt>
                <c:pt idx="528">
                  <c:v>8.5399999999999991</c:v>
                </c:pt>
                <c:pt idx="529">
                  <c:v>6.23</c:v>
                </c:pt>
                <c:pt idx="530">
                  <c:v>8.68</c:v>
                </c:pt>
                <c:pt idx="531">
                  <c:v>4.54</c:v>
                </c:pt>
                <c:pt idx="532">
                  <c:v>5.5</c:v>
                </c:pt>
                <c:pt idx="533">
                  <c:v>7.25</c:v>
                </c:pt>
                <c:pt idx="534">
                  <c:v>4.32</c:v>
                </c:pt>
                <c:pt idx="535">
                  <c:v>5.03</c:v>
                </c:pt>
                <c:pt idx="536">
                  <c:v>7.9</c:v>
                </c:pt>
                <c:pt idx="537">
                  <c:v>4.6100000000000003</c:v>
                </c:pt>
                <c:pt idx="538">
                  <c:v>3.3</c:v>
                </c:pt>
                <c:pt idx="539">
                  <c:v>8.35</c:v>
                </c:pt>
                <c:pt idx="540">
                  <c:v>5.35</c:v>
                </c:pt>
                <c:pt idx="541">
                  <c:v>4.57</c:v>
                </c:pt>
                <c:pt idx="542">
                  <c:v>7.06</c:v>
                </c:pt>
                <c:pt idx="543">
                  <c:v>5.23</c:v>
                </c:pt>
                <c:pt idx="544">
                  <c:v>5.84</c:v>
                </c:pt>
                <c:pt idx="545">
                  <c:v>6.71</c:v>
                </c:pt>
                <c:pt idx="546">
                  <c:v>5.2</c:v>
                </c:pt>
                <c:pt idx="547">
                  <c:v>4.83</c:v>
                </c:pt>
                <c:pt idx="548">
                  <c:v>5.43</c:v>
                </c:pt>
                <c:pt idx="549">
                  <c:v>4.17</c:v>
                </c:pt>
                <c:pt idx="550">
                  <c:v>2.2999999999999998</c:v>
                </c:pt>
                <c:pt idx="551">
                  <c:v>8.5500000000000007</c:v>
                </c:pt>
                <c:pt idx="552">
                  <c:v>2.5</c:v>
                </c:pt>
                <c:pt idx="553">
                  <c:v>4.92</c:v>
                </c:pt>
                <c:pt idx="554">
                  <c:v>4.66</c:v>
                </c:pt>
                <c:pt idx="555">
                  <c:v>1.6</c:v>
                </c:pt>
                <c:pt idx="556">
                  <c:v>4.6399999999999997</c:v>
                </c:pt>
                <c:pt idx="557">
                  <c:v>4.4800000000000004</c:v>
                </c:pt>
                <c:pt idx="558">
                  <c:v>4.17</c:v>
                </c:pt>
                <c:pt idx="559">
                  <c:v>5.0999999999999996</c:v>
                </c:pt>
                <c:pt idx="560">
                  <c:v>7</c:v>
                </c:pt>
                <c:pt idx="561">
                  <c:v>4.12</c:v>
                </c:pt>
                <c:pt idx="562">
                  <c:v>8.5500000000000007</c:v>
                </c:pt>
                <c:pt idx="563">
                  <c:v>4.84</c:v>
                </c:pt>
                <c:pt idx="564">
                  <c:v>5.2</c:v>
                </c:pt>
                <c:pt idx="565">
                  <c:v>6.76</c:v>
                </c:pt>
                <c:pt idx="566">
                  <c:v>7.76</c:v>
                </c:pt>
                <c:pt idx="567">
                  <c:v>5.15</c:v>
                </c:pt>
                <c:pt idx="568">
                  <c:v>7.29</c:v>
                </c:pt>
                <c:pt idx="569">
                  <c:v>4.1399999999999997</c:v>
                </c:pt>
                <c:pt idx="570">
                  <c:v>5.76</c:v>
                </c:pt>
                <c:pt idx="571">
                  <c:v>6.23</c:v>
                </c:pt>
                <c:pt idx="572">
                  <c:v>4.1100000000000003</c:v>
                </c:pt>
                <c:pt idx="573">
                  <c:v>6.47</c:v>
                </c:pt>
                <c:pt idx="574">
                  <c:v>4.66</c:v>
                </c:pt>
                <c:pt idx="575">
                  <c:v>4.34</c:v>
                </c:pt>
                <c:pt idx="576">
                  <c:v>4.1399999999999997</c:v>
                </c:pt>
                <c:pt idx="577">
                  <c:v>7.45</c:v>
                </c:pt>
                <c:pt idx="578">
                  <c:v>5.42</c:v>
                </c:pt>
                <c:pt idx="579">
                  <c:v>4.96</c:v>
                </c:pt>
                <c:pt idx="580">
                  <c:v>8.1199999999999992</c:v>
                </c:pt>
                <c:pt idx="581">
                  <c:v>4.3899999999999997</c:v>
                </c:pt>
                <c:pt idx="582">
                  <c:v>3.3</c:v>
                </c:pt>
                <c:pt idx="583">
                  <c:v>6.25</c:v>
                </c:pt>
                <c:pt idx="584">
                  <c:v>1.5</c:v>
                </c:pt>
                <c:pt idx="585">
                  <c:v>7.79</c:v>
                </c:pt>
                <c:pt idx="586">
                  <c:v>3.7</c:v>
                </c:pt>
                <c:pt idx="587">
                  <c:v>5.48</c:v>
                </c:pt>
                <c:pt idx="588">
                  <c:v>4.4400000000000004</c:v>
                </c:pt>
                <c:pt idx="589">
                  <c:v>6.63</c:v>
                </c:pt>
                <c:pt idx="590">
                  <c:v>4.46</c:v>
                </c:pt>
                <c:pt idx="591">
                  <c:v>4.3099999999999996</c:v>
                </c:pt>
                <c:pt idx="592">
                  <c:v>7.27</c:v>
                </c:pt>
                <c:pt idx="593">
                  <c:v>6.22</c:v>
                </c:pt>
                <c:pt idx="594">
                  <c:v>6.68</c:v>
                </c:pt>
                <c:pt idx="595">
                  <c:v>3.3</c:v>
                </c:pt>
                <c:pt idx="596">
                  <c:v>2</c:v>
                </c:pt>
                <c:pt idx="597">
                  <c:v>7.72</c:v>
                </c:pt>
                <c:pt idx="598">
                  <c:v>2.9</c:v>
                </c:pt>
                <c:pt idx="599">
                  <c:v>6.18</c:v>
                </c:pt>
                <c:pt idx="600">
                  <c:v>4.32</c:v>
                </c:pt>
                <c:pt idx="601">
                  <c:v>1.8</c:v>
                </c:pt>
                <c:pt idx="602">
                  <c:v>5.03</c:v>
                </c:pt>
                <c:pt idx="603">
                  <c:v>2.4</c:v>
                </c:pt>
                <c:pt idx="604">
                  <c:v>4.46</c:v>
                </c:pt>
                <c:pt idx="605">
                  <c:v>4.6500000000000004</c:v>
                </c:pt>
                <c:pt idx="606">
                  <c:v>3</c:v>
                </c:pt>
                <c:pt idx="607">
                  <c:v>5.3</c:v>
                </c:pt>
                <c:pt idx="608">
                  <c:v>4</c:v>
                </c:pt>
                <c:pt idx="609">
                  <c:v>3.6</c:v>
                </c:pt>
                <c:pt idx="610">
                  <c:v>4.8</c:v>
                </c:pt>
                <c:pt idx="611">
                  <c:v>9.0500000000000007</c:v>
                </c:pt>
                <c:pt idx="612">
                  <c:v>2</c:v>
                </c:pt>
                <c:pt idx="613">
                  <c:v>5.22</c:v>
                </c:pt>
                <c:pt idx="614">
                  <c:v>7.22</c:v>
                </c:pt>
                <c:pt idx="615">
                  <c:v>1.9</c:v>
                </c:pt>
                <c:pt idx="616">
                  <c:v>5.85</c:v>
                </c:pt>
                <c:pt idx="617">
                  <c:v>3.9</c:v>
                </c:pt>
                <c:pt idx="618">
                  <c:v>8.39</c:v>
                </c:pt>
                <c:pt idx="619">
                  <c:v>6.41</c:v>
                </c:pt>
                <c:pt idx="620">
                  <c:v>4.13</c:v>
                </c:pt>
                <c:pt idx="621">
                  <c:v>7.38</c:v>
                </c:pt>
                <c:pt idx="622">
                  <c:v>2.9</c:v>
                </c:pt>
                <c:pt idx="623">
                  <c:v>4.03</c:v>
                </c:pt>
                <c:pt idx="624">
                  <c:v>2.67</c:v>
                </c:pt>
                <c:pt idx="625">
                  <c:v>4.4400000000000004</c:v>
                </c:pt>
                <c:pt idx="626">
                  <c:v>4.62</c:v>
                </c:pt>
                <c:pt idx="627">
                  <c:v>5.58</c:v>
                </c:pt>
                <c:pt idx="628">
                  <c:v>3.8</c:v>
                </c:pt>
                <c:pt idx="629">
                  <c:v>1.5</c:v>
                </c:pt>
                <c:pt idx="630">
                  <c:v>4.37</c:v>
                </c:pt>
                <c:pt idx="631">
                  <c:v>1.5</c:v>
                </c:pt>
                <c:pt idx="632">
                  <c:v>2.1</c:v>
                </c:pt>
                <c:pt idx="633">
                  <c:v>7.18</c:v>
                </c:pt>
                <c:pt idx="634">
                  <c:v>4.1399999999999997</c:v>
                </c:pt>
                <c:pt idx="635">
                  <c:v>3.5</c:v>
                </c:pt>
                <c:pt idx="636">
                  <c:v>4</c:v>
                </c:pt>
                <c:pt idx="637">
                  <c:v>4.0599999999999996</c:v>
                </c:pt>
                <c:pt idx="638">
                  <c:v>6.31</c:v>
                </c:pt>
                <c:pt idx="639">
                  <c:v>5.46</c:v>
                </c:pt>
                <c:pt idx="640">
                  <c:v>4.54</c:v>
                </c:pt>
                <c:pt idx="641">
                  <c:v>4.1500000000000004</c:v>
                </c:pt>
                <c:pt idx="642">
                  <c:v>5.65</c:v>
                </c:pt>
                <c:pt idx="643">
                  <c:v>4.3899999999999997</c:v>
                </c:pt>
                <c:pt idx="644">
                  <c:v>7.37</c:v>
                </c:pt>
                <c:pt idx="645">
                  <c:v>2</c:v>
                </c:pt>
                <c:pt idx="646">
                  <c:v>4</c:v>
                </c:pt>
                <c:pt idx="647">
                  <c:v>4</c:v>
                </c:pt>
                <c:pt idx="648">
                  <c:v>1.7</c:v>
                </c:pt>
                <c:pt idx="649">
                  <c:v>2.7</c:v>
                </c:pt>
                <c:pt idx="650">
                  <c:v>2.2999999999999998</c:v>
                </c:pt>
                <c:pt idx="651">
                  <c:v>3.7</c:v>
                </c:pt>
                <c:pt idx="652">
                  <c:v>3.9</c:v>
                </c:pt>
                <c:pt idx="653">
                  <c:v>2.8</c:v>
                </c:pt>
                <c:pt idx="654">
                  <c:v>5.93</c:v>
                </c:pt>
                <c:pt idx="655">
                  <c:v>2.6</c:v>
                </c:pt>
                <c:pt idx="656">
                  <c:v>4.68</c:v>
                </c:pt>
                <c:pt idx="657">
                  <c:v>8.41</c:v>
                </c:pt>
                <c:pt idx="658">
                  <c:v>4.18</c:v>
                </c:pt>
                <c:pt idx="659">
                  <c:v>3.2</c:v>
                </c:pt>
              </c:numCache>
            </c:numRef>
          </c:xVal>
          <c:yVal>
            <c:numRef>
              <c:f>'DATA Février (clients affiliés)'!$C$7:$C$666</c:f>
              <c:numCache>
                <c:formatCode>_-* #\ ##0.00\ "€"_-;\-* #\ ##0.00\ "€"_-;_-* "-"??\ "€"_-;_-@</c:formatCode>
                <c:ptCount val="660"/>
                <c:pt idx="0">
                  <c:v>132.72999999999999</c:v>
                </c:pt>
                <c:pt idx="1">
                  <c:v>120.86</c:v>
                </c:pt>
                <c:pt idx="2">
                  <c:v>118.54</c:v>
                </c:pt>
                <c:pt idx="3">
                  <c:v>118.49</c:v>
                </c:pt>
                <c:pt idx="4">
                  <c:v>115.37</c:v>
                </c:pt>
                <c:pt idx="5">
                  <c:v>115.29</c:v>
                </c:pt>
                <c:pt idx="6">
                  <c:v>114.96</c:v>
                </c:pt>
                <c:pt idx="7">
                  <c:v>110.81</c:v>
                </c:pt>
                <c:pt idx="8">
                  <c:v>110.48</c:v>
                </c:pt>
                <c:pt idx="9">
                  <c:v>109.79</c:v>
                </c:pt>
                <c:pt idx="10">
                  <c:v>109.42</c:v>
                </c:pt>
                <c:pt idx="11">
                  <c:v>108.17</c:v>
                </c:pt>
                <c:pt idx="12">
                  <c:v>105.61</c:v>
                </c:pt>
                <c:pt idx="13">
                  <c:v>105.6</c:v>
                </c:pt>
                <c:pt idx="14">
                  <c:v>104.75</c:v>
                </c:pt>
                <c:pt idx="15">
                  <c:v>103.88</c:v>
                </c:pt>
                <c:pt idx="16">
                  <c:v>103.65</c:v>
                </c:pt>
                <c:pt idx="17">
                  <c:v>103.09</c:v>
                </c:pt>
                <c:pt idx="18">
                  <c:v>101.92</c:v>
                </c:pt>
                <c:pt idx="19">
                  <c:v>100.82</c:v>
                </c:pt>
                <c:pt idx="20">
                  <c:v>100.78</c:v>
                </c:pt>
                <c:pt idx="21">
                  <c:v>100.72</c:v>
                </c:pt>
                <c:pt idx="22">
                  <c:v>100.55</c:v>
                </c:pt>
                <c:pt idx="23">
                  <c:v>100.07</c:v>
                </c:pt>
                <c:pt idx="24">
                  <c:v>99.96</c:v>
                </c:pt>
                <c:pt idx="25">
                  <c:v>99.73</c:v>
                </c:pt>
                <c:pt idx="26">
                  <c:v>99.72</c:v>
                </c:pt>
                <c:pt idx="27">
                  <c:v>99.6</c:v>
                </c:pt>
                <c:pt idx="28">
                  <c:v>98.34</c:v>
                </c:pt>
                <c:pt idx="29">
                  <c:v>96.74</c:v>
                </c:pt>
                <c:pt idx="30">
                  <c:v>96.31</c:v>
                </c:pt>
                <c:pt idx="31">
                  <c:v>96.03</c:v>
                </c:pt>
                <c:pt idx="32">
                  <c:v>95.73</c:v>
                </c:pt>
                <c:pt idx="33">
                  <c:v>95.39</c:v>
                </c:pt>
                <c:pt idx="34">
                  <c:v>95.27</c:v>
                </c:pt>
                <c:pt idx="35">
                  <c:v>95.17</c:v>
                </c:pt>
                <c:pt idx="36">
                  <c:v>94.71</c:v>
                </c:pt>
                <c:pt idx="37">
                  <c:v>94.26</c:v>
                </c:pt>
                <c:pt idx="38">
                  <c:v>94.07</c:v>
                </c:pt>
                <c:pt idx="39">
                  <c:v>93.63</c:v>
                </c:pt>
                <c:pt idx="40">
                  <c:v>93.01</c:v>
                </c:pt>
                <c:pt idx="41">
                  <c:v>92.89</c:v>
                </c:pt>
                <c:pt idx="42">
                  <c:v>92.88</c:v>
                </c:pt>
                <c:pt idx="43">
                  <c:v>92.83</c:v>
                </c:pt>
                <c:pt idx="44">
                  <c:v>92.48</c:v>
                </c:pt>
                <c:pt idx="45">
                  <c:v>92.43</c:v>
                </c:pt>
                <c:pt idx="46">
                  <c:v>92.22</c:v>
                </c:pt>
                <c:pt idx="47">
                  <c:v>92.22</c:v>
                </c:pt>
                <c:pt idx="48">
                  <c:v>92.08</c:v>
                </c:pt>
                <c:pt idx="49">
                  <c:v>91.79</c:v>
                </c:pt>
                <c:pt idx="50">
                  <c:v>91.7</c:v>
                </c:pt>
                <c:pt idx="51">
                  <c:v>91.53</c:v>
                </c:pt>
                <c:pt idx="52">
                  <c:v>91.39</c:v>
                </c:pt>
                <c:pt idx="53">
                  <c:v>91.16</c:v>
                </c:pt>
                <c:pt idx="54">
                  <c:v>90.99</c:v>
                </c:pt>
                <c:pt idx="55">
                  <c:v>90.89</c:v>
                </c:pt>
                <c:pt idx="56">
                  <c:v>90.66</c:v>
                </c:pt>
                <c:pt idx="57">
                  <c:v>90.42</c:v>
                </c:pt>
                <c:pt idx="58">
                  <c:v>89.98</c:v>
                </c:pt>
                <c:pt idx="59">
                  <c:v>89.68</c:v>
                </c:pt>
                <c:pt idx="60">
                  <c:v>89.49</c:v>
                </c:pt>
                <c:pt idx="61">
                  <c:v>89.46</c:v>
                </c:pt>
                <c:pt idx="62">
                  <c:v>89.32</c:v>
                </c:pt>
                <c:pt idx="63">
                  <c:v>89.26</c:v>
                </c:pt>
                <c:pt idx="64">
                  <c:v>89.18</c:v>
                </c:pt>
                <c:pt idx="65">
                  <c:v>89.08</c:v>
                </c:pt>
                <c:pt idx="66">
                  <c:v>89.07</c:v>
                </c:pt>
                <c:pt idx="67">
                  <c:v>88.57</c:v>
                </c:pt>
                <c:pt idx="68">
                  <c:v>88.53</c:v>
                </c:pt>
                <c:pt idx="69">
                  <c:v>88.43</c:v>
                </c:pt>
                <c:pt idx="70">
                  <c:v>88.33</c:v>
                </c:pt>
                <c:pt idx="71">
                  <c:v>88.16</c:v>
                </c:pt>
                <c:pt idx="72">
                  <c:v>87.75</c:v>
                </c:pt>
                <c:pt idx="73">
                  <c:v>87.63</c:v>
                </c:pt>
                <c:pt idx="74">
                  <c:v>87.42</c:v>
                </c:pt>
                <c:pt idx="75">
                  <c:v>87.4</c:v>
                </c:pt>
                <c:pt idx="76">
                  <c:v>87.01</c:v>
                </c:pt>
                <c:pt idx="77">
                  <c:v>86.68</c:v>
                </c:pt>
                <c:pt idx="78">
                  <c:v>86.46</c:v>
                </c:pt>
                <c:pt idx="79">
                  <c:v>86.36</c:v>
                </c:pt>
                <c:pt idx="80">
                  <c:v>86.23</c:v>
                </c:pt>
                <c:pt idx="81">
                  <c:v>85.79</c:v>
                </c:pt>
                <c:pt idx="82">
                  <c:v>85.37</c:v>
                </c:pt>
                <c:pt idx="83">
                  <c:v>85.29</c:v>
                </c:pt>
                <c:pt idx="84">
                  <c:v>85.03</c:v>
                </c:pt>
                <c:pt idx="85">
                  <c:v>84.49</c:v>
                </c:pt>
                <c:pt idx="86">
                  <c:v>84.48</c:v>
                </c:pt>
                <c:pt idx="87">
                  <c:v>84.28</c:v>
                </c:pt>
                <c:pt idx="88">
                  <c:v>84.26</c:v>
                </c:pt>
                <c:pt idx="89">
                  <c:v>84.13</c:v>
                </c:pt>
                <c:pt idx="90">
                  <c:v>83.86</c:v>
                </c:pt>
                <c:pt idx="91">
                  <c:v>83.76</c:v>
                </c:pt>
                <c:pt idx="92">
                  <c:v>83.73</c:v>
                </c:pt>
                <c:pt idx="93">
                  <c:v>83.57</c:v>
                </c:pt>
                <c:pt idx="94">
                  <c:v>83.38</c:v>
                </c:pt>
                <c:pt idx="95">
                  <c:v>83.21</c:v>
                </c:pt>
                <c:pt idx="96">
                  <c:v>83.15</c:v>
                </c:pt>
                <c:pt idx="97">
                  <c:v>83.08</c:v>
                </c:pt>
                <c:pt idx="98">
                  <c:v>82.68</c:v>
                </c:pt>
                <c:pt idx="99">
                  <c:v>82.31</c:v>
                </c:pt>
                <c:pt idx="100">
                  <c:v>82.07</c:v>
                </c:pt>
                <c:pt idx="101">
                  <c:v>82.05</c:v>
                </c:pt>
                <c:pt idx="102">
                  <c:v>82.02</c:v>
                </c:pt>
                <c:pt idx="103">
                  <c:v>81.88</c:v>
                </c:pt>
                <c:pt idx="104">
                  <c:v>81.680000000000007</c:v>
                </c:pt>
                <c:pt idx="105">
                  <c:v>81.64</c:v>
                </c:pt>
                <c:pt idx="106">
                  <c:v>81.569999999999993</c:v>
                </c:pt>
                <c:pt idx="107">
                  <c:v>81.53</c:v>
                </c:pt>
                <c:pt idx="108">
                  <c:v>81.08</c:v>
                </c:pt>
                <c:pt idx="109">
                  <c:v>80.989999999999995</c:v>
                </c:pt>
                <c:pt idx="110">
                  <c:v>80.47</c:v>
                </c:pt>
                <c:pt idx="111">
                  <c:v>80.430000000000007</c:v>
                </c:pt>
                <c:pt idx="112">
                  <c:v>80.31</c:v>
                </c:pt>
                <c:pt idx="113">
                  <c:v>80.31</c:v>
                </c:pt>
                <c:pt idx="114">
                  <c:v>80.16</c:v>
                </c:pt>
                <c:pt idx="115">
                  <c:v>80.13</c:v>
                </c:pt>
                <c:pt idx="116">
                  <c:v>80.03</c:v>
                </c:pt>
                <c:pt idx="117">
                  <c:v>80</c:v>
                </c:pt>
                <c:pt idx="118">
                  <c:v>79.989999999999995</c:v>
                </c:pt>
                <c:pt idx="119">
                  <c:v>79.900000000000006</c:v>
                </c:pt>
                <c:pt idx="120">
                  <c:v>79.790000000000006</c:v>
                </c:pt>
                <c:pt idx="121">
                  <c:v>79.67</c:v>
                </c:pt>
                <c:pt idx="122">
                  <c:v>79.55</c:v>
                </c:pt>
                <c:pt idx="123">
                  <c:v>79.36</c:v>
                </c:pt>
                <c:pt idx="124">
                  <c:v>79.349999999999994</c:v>
                </c:pt>
                <c:pt idx="125">
                  <c:v>79.290000000000006</c:v>
                </c:pt>
                <c:pt idx="126">
                  <c:v>79.25</c:v>
                </c:pt>
                <c:pt idx="127">
                  <c:v>79.23</c:v>
                </c:pt>
                <c:pt idx="128">
                  <c:v>78.83</c:v>
                </c:pt>
                <c:pt idx="129">
                  <c:v>78.58</c:v>
                </c:pt>
                <c:pt idx="130">
                  <c:v>78.39</c:v>
                </c:pt>
                <c:pt idx="131">
                  <c:v>78.3</c:v>
                </c:pt>
                <c:pt idx="132">
                  <c:v>78.27</c:v>
                </c:pt>
                <c:pt idx="133">
                  <c:v>78.2</c:v>
                </c:pt>
                <c:pt idx="134">
                  <c:v>78.2</c:v>
                </c:pt>
                <c:pt idx="135">
                  <c:v>77.989999999999995</c:v>
                </c:pt>
                <c:pt idx="136">
                  <c:v>77.92</c:v>
                </c:pt>
                <c:pt idx="137">
                  <c:v>77.84</c:v>
                </c:pt>
                <c:pt idx="138">
                  <c:v>77.760000000000005</c:v>
                </c:pt>
                <c:pt idx="139">
                  <c:v>77.45</c:v>
                </c:pt>
                <c:pt idx="140">
                  <c:v>77.400000000000006</c:v>
                </c:pt>
                <c:pt idx="141">
                  <c:v>77.39</c:v>
                </c:pt>
                <c:pt idx="142">
                  <c:v>77.38</c:v>
                </c:pt>
                <c:pt idx="143">
                  <c:v>77.36</c:v>
                </c:pt>
                <c:pt idx="144">
                  <c:v>77.319999999999993</c:v>
                </c:pt>
                <c:pt idx="145">
                  <c:v>77.290000000000006</c:v>
                </c:pt>
                <c:pt idx="146">
                  <c:v>77.16</c:v>
                </c:pt>
                <c:pt idx="147">
                  <c:v>77.150000000000006</c:v>
                </c:pt>
                <c:pt idx="148">
                  <c:v>77.13</c:v>
                </c:pt>
                <c:pt idx="149">
                  <c:v>77.069999999999993</c:v>
                </c:pt>
                <c:pt idx="150">
                  <c:v>76.959999999999994</c:v>
                </c:pt>
                <c:pt idx="151">
                  <c:v>76.7</c:v>
                </c:pt>
                <c:pt idx="152">
                  <c:v>76.55</c:v>
                </c:pt>
                <c:pt idx="153">
                  <c:v>76.47</c:v>
                </c:pt>
                <c:pt idx="154">
                  <c:v>76.39</c:v>
                </c:pt>
                <c:pt idx="155">
                  <c:v>76.37</c:v>
                </c:pt>
                <c:pt idx="156">
                  <c:v>76.37</c:v>
                </c:pt>
                <c:pt idx="157">
                  <c:v>76.27</c:v>
                </c:pt>
                <c:pt idx="158">
                  <c:v>76.27</c:v>
                </c:pt>
                <c:pt idx="159">
                  <c:v>76.010000000000005</c:v>
                </c:pt>
                <c:pt idx="160">
                  <c:v>75.75</c:v>
                </c:pt>
                <c:pt idx="161">
                  <c:v>75.739999999999995</c:v>
                </c:pt>
                <c:pt idx="162">
                  <c:v>75.459999999999994</c:v>
                </c:pt>
                <c:pt idx="163">
                  <c:v>75.430000000000007</c:v>
                </c:pt>
                <c:pt idx="164">
                  <c:v>75.08</c:v>
                </c:pt>
                <c:pt idx="165">
                  <c:v>75.03</c:v>
                </c:pt>
                <c:pt idx="166">
                  <c:v>74.97</c:v>
                </c:pt>
                <c:pt idx="167">
                  <c:v>74.760000000000005</c:v>
                </c:pt>
                <c:pt idx="168">
                  <c:v>74.739999999999995</c:v>
                </c:pt>
                <c:pt idx="169">
                  <c:v>74.44</c:v>
                </c:pt>
                <c:pt idx="170">
                  <c:v>74.41</c:v>
                </c:pt>
                <c:pt idx="171">
                  <c:v>74.239999999999995</c:v>
                </c:pt>
                <c:pt idx="172">
                  <c:v>74.14</c:v>
                </c:pt>
                <c:pt idx="173">
                  <c:v>74.09</c:v>
                </c:pt>
                <c:pt idx="174">
                  <c:v>73.91</c:v>
                </c:pt>
                <c:pt idx="175">
                  <c:v>73.87</c:v>
                </c:pt>
                <c:pt idx="176">
                  <c:v>73.78</c:v>
                </c:pt>
                <c:pt idx="177">
                  <c:v>73.75</c:v>
                </c:pt>
                <c:pt idx="178">
                  <c:v>73.69</c:v>
                </c:pt>
                <c:pt idx="179">
                  <c:v>73.45</c:v>
                </c:pt>
                <c:pt idx="180">
                  <c:v>73.260000000000005</c:v>
                </c:pt>
                <c:pt idx="181">
                  <c:v>73.25</c:v>
                </c:pt>
                <c:pt idx="182">
                  <c:v>73.25</c:v>
                </c:pt>
                <c:pt idx="183">
                  <c:v>73.02</c:v>
                </c:pt>
                <c:pt idx="184">
                  <c:v>72.92</c:v>
                </c:pt>
                <c:pt idx="185">
                  <c:v>72.78</c:v>
                </c:pt>
                <c:pt idx="186">
                  <c:v>72.72</c:v>
                </c:pt>
                <c:pt idx="187">
                  <c:v>72.56</c:v>
                </c:pt>
                <c:pt idx="188">
                  <c:v>72.540000000000006</c:v>
                </c:pt>
                <c:pt idx="189">
                  <c:v>72.510000000000005</c:v>
                </c:pt>
                <c:pt idx="190">
                  <c:v>72.44</c:v>
                </c:pt>
                <c:pt idx="191">
                  <c:v>72.349999999999994</c:v>
                </c:pt>
                <c:pt idx="192">
                  <c:v>72.25</c:v>
                </c:pt>
                <c:pt idx="193">
                  <c:v>71.98</c:v>
                </c:pt>
                <c:pt idx="194">
                  <c:v>71.62</c:v>
                </c:pt>
                <c:pt idx="195">
                  <c:v>71.599999999999994</c:v>
                </c:pt>
                <c:pt idx="196">
                  <c:v>71.47</c:v>
                </c:pt>
                <c:pt idx="197">
                  <c:v>71.33</c:v>
                </c:pt>
                <c:pt idx="198">
                  <c:v>71.150000000000006</c:v>
                </c:pt>
                <c:pt idx="199">
                  <c:v>71.069999999999993</c:v>
                </c:pt>
                <c:pt idx="200">
                  <c:v>71.040000000000006</c:v>
                </c:pt>
                <c:pt idx="201">
                  <c:v>70.88</c:v>
                </c:pt>
                <c:pt idx="202">
                  <c:v>70.739999999999995</c:v>
                </c:pt>
                <c:pt idx="203">
                  <c:v>70.61</c:v>
                </c:pt>
                <c:pt idx="204">
                  <c:v>70.489999999999995</c:v>
                </c:pt>
                <c:pt idx="205">
                  <c:v>70.430000000000007</c:v>
                </c:pt>
                <c:pt idx="206">
                  <c:v>70.38</c:v>
                </c:pt>
                <c:pt idx="207">
                  <c:v>70.36</c:v>
                </c:pt>
                <c:pt idx="208">
                  <c:v>70.22</c:v>
                </c:pt>
                <c:pt idx="209">
                  <c:v>70.06</c:v>
                </c:pt>
                <c:pt idx="210">
                  <c:v>70.040000000000006</c:v>
                </c:pt>
                <c:pt idx="211">
                  <c:v>70</c:v>
                </c:pt>
                <c:pt idx="212">
                  <c:v>69.86</c:v>
                </c:pt>
                <c:pt idx="213">
                  <c:v>69.61</c:v>
                </c:pt>
                <c:pt idx="214">
                  <c:v>69.099999999999994</c:v>
                </c:pt>
                <c:pt idx="215">
                  <c:v>69.069999999999993</c:v>
                </c:pt>
                <c:pt idx="216">
                  <c:v>69.06</c:v>
                </c:pt>
                <c:pt idx="217">
                  <c:v>69.040000000000006</c:v>
                </c:pt>
                <c:pt idx="218">
                  <c:v>68.959999999999994</c:v>
                </c:pt>
                <c:pt idx="219">
                  <c:v>68.91</c:v>
                </c:pt>
                <c:pt idx="220">
                  <c:v>68.760000000000005</c:v>
                </c:pt>
                <c:pt idx="221">
                  <c:v>68.48</c:v>
                </c:pt>
                <c:pt idx="222">
                  <c:v>68.38</c:v>
                </c:pt>
                <c:pt idx="223">
                  <c:v>68.260000000000005</c:v>
                </c:pt>
                <c:pt idx="224">
                  <c:v>68.12</c:v>
                </c:pt>
                <c:pt idx="225">
                  <c:v>68.069999999999993</c:v>
                </c:pt>
                <c:pt idx="226">
                  <c:v>68.02</c:v>
                </c:pt>
                <c:pt idx="227">
                  <c:v>67.95</c:v>
                </c:pt>
                <c:pt idx="228">
                  <c:v>67.87</c:v>
                </c:pt>
                <c:pt idx="229">
                  <c:v>67.739999999999995</c:v>
                </c:pt>
                <c:pt idx="230">
                  <c:v>67.66</c:v>
                </c:pt>
                <c:pt idx="231">
                  <c:v>67.63</c:v>
                </c:pt>
                <c:pt idx="232">
                  <c:v>67.44</c:v>
                </c:pt>
                <c:pt idx="233">
                  <c:v>67.36</c:v>
                </c:pt>
                <c:pt idx="234">
                  <c:v>67.36</c:v>
                </c:pt>
                <c:pt idx="235">
                  <c:v>67.31</c:v>
                </c:pt>
                <c:pt idx="236">
                  <c:v>67.260000000000005</c:v>
                </c:pt>
                <c:pt idx="237">
                  <c:v>67.25</c:v>
                </c:pt>
                <c:pt idx="238">
                  <c:v>67.23</c:v>
                </c:pt>
                <c:pt idx="239">
                  <c:v>67.2</c:v>
                </c:pt>
                <c:pt idx="240">
                  <c:v>67.150000000000006</c:v>
                </c:pt>
                <c:pt idx="241">
                  <c:v>67.12</c:v>
                </c:pt>
                <c:pt idx="242">
                  <c:v>67.069999999999993</c:v>
                </c:pt>
                <c:pt idx="243">
                  <c:v>67.02</c:v>
                </c:pt>
                <c:pt idx="244">
                  <c:v>66.959999999999994</c:v>
                </c:pt>
                <c:pt idx="245">
                  <c:v>66.86</c:v>
                </c:pt>
                <c:pt idx="246">
                  <c:v>66.72</c:v>
                </c:pt>
                <c:pt idx="247">
                  <c:v>66.709999999999994</c:v>
                </c:pt>
                <c:pt idx="248">
                  <c:v>66.650000000000006</c:v>
                </c:pt>
                <c:pt idx="249">
                  <c:v>66.56</c:v>
                </c:pt>
                <c:pt idx="250">
                  <c:v>66.430000000000007</c:v>
                </c:pt>
                <c:pt idx="251">
                  <c:v>66.28</c:v>
                </c:pt>
                <c:pt idx="252">
                  <c:v>66.22</c:v>
                </c:pt>
                <c:pt idx="253">
                  <c:v>66.209999999999994</c:v>
                </c:pt>
                <c:pt idx="254">
                  <c:v>66.16</c:v>
                </c:pt>
                <c:pt idx="255">
                  <c:v>66.13</c:v>
                </c:pt>
                <c:pt idx="256">
                  <c:v>65.95</c:v>
                </c:pt>
                <c:pt idx="257">
                  <c:v>65.87</c:v>
                </c:pt>
                <c:pt idx="258">
                  <c:v>65.84</c:v>
                </c:pt>
                <c:pt idx="259">
                  <c:v>65.400000000000006</c:v>
                </c:pt>
                <c:pt idx="260">
                  <c:v>65.36</c:v>
                </c:pt>
                <c:pt idx="261">
                  <c:v>65.28</c:v>
                </c:pt>
                <c:pt idx="262">
                  <c:v>65.260000000000005</c:v>
                </c:pt>
                <c:pt idx="263">
                  <c:v>65.209999999999994</c:v>
                </c:pt>
                <c:pt idx="264">
                  <c:v>65.19</c:v>
                </c:pt>
                <c:pt idx="265">
                  <c:v>65.16</c:v>
                </c:pt>
                <c:pt idx="266">
                  <c:v>65.02</c:v>
                </c:pt>
                <c:pt idx="267">
                  <c:v>64.83</c:v>
                </c:pt>
                <c:pt idx="268">
                  <c:v>64.69</c:v>
                </c:pt>
                <c:pt idx="269">
                  <c:v>64.67</c:v>
                </c:pt>
                <c:pt idx="270">
                  <c:v>64.61</c:v>
                </c:pt>
                <c:pt idx="271">
                  <c:v>64.599999999999994</c:v>
                </c:pt>
                <c:pt idx="272">
                  <c:v>64.55</c:v>
                </c:pt>
                <c:pt idx="273">
                  <c:v>64.5</c:v>
                </c:pt>
                <c:pt idx="274">
                  <c:v>64.36</c:v>
                </c:pt>
                <c:pt idx="275">
                  <c:v>64.02</c:v>
                </c:pt>
                <c:pt idx="276">
                  <c:v>63.91</c:v>
                </c:pt>
                <c:pt idx="277">
                  <c:v>63.74</c:v>
                </c:pt>
                <c:pt idx="278">
                  <c:v>63.57</c:v>
                </c:pt>
                <c:pt idx="279">
                  <c:v>63.52</c:v>
                </c:pt>
                <c:pt idx="280">
                  <c:v>63.51</c:v>
                </c:pt>
                <c:pt idx="281">
                  <c:v>63.5</c:v>
                </c:pt>
                <c:pt idx="282">
                  <c:v>63.38</c:v>
                </c:pt>
                <c:pt idx="283">
                  <c:v>63.35</c:v>
                </c:pt>
                <c:pt idx="284">
                  <c:v>63.34</c:v>
                </c:pt>
                <c:pt idx="285">
                  <c:v>63.32</c:v>
                </c:pt>
                <c:pt idx="286">
                  <c:v>63.19</c:v>
                </c:pt>
                <c:pt idx="287">
                  <c:v>63.1</c:v>
                </c:pt>
                <c:pt idx="288">
                  <c:v>63.07</c:v>
                </c:pt>
                <c:pt idx="289">
                  <c:v>63</c:v>
                </c:pt>
                <c:pt idx="290">
                  <c:v>62.98</c:v>
                </c:pt>
                <c:pt idx="291">
                  <c:v>62.96</c:v>
                </c:pt>
                <c:pt idx="292">
                  <c:v>62.93</c:v>
                </c:pt>
                <c:pt idx="293">
                  <c:v>62.92</c:v>
                </c:pt>
                <c:pt idx="294">
                  <c:v>62.85</c:v>
                </c:pt>
                <c:pt idx="295">
                  <c:v>62.71</c:v>
                </c:pt>
                <c:pt idx="296">
                  <c:v>62.64</c:v>
                </c:pt>
                <c:pt idx="297">
                  <c:v>62.56</c:v>
                </c:pt>
                <c:pt idx="298">
                  <c:v>62.53</c:v>
                </c:pt>
                <c:pt idx="299">
                  <c:v>62.51</c:v>
                </c:pt>
                <c:pt idx="300">
                  <c:v>62.46</c:v>
                </c:pt>
                <c:pt idx="301">
                  <c:v>62.31</c:v>
                </c:pt>
                <c:pt idx="302">
                  <c:v>62.13</c:v>
                </c:pt>
                <c:pt idx="303">
                  <c:v>61.92</c:v>
                </c:pt>
                <c:pt idx="304">
                  <c:v>61.9</c:v>
                </c:pt>
                <c:pt idx="305">
                  <c:v>61.87</c:v>
                </c:pt>
                <c:pt idx="306">
                  <c:v>61.81</c:v>
                </c:pt>
                <c:pt idx="307">
                  <c:v>61.63</c:v>
                </c:pt>
                <c:pt idx="308">
                  <c:v>61.5</c:v>
                </c:pt>
                <c:pt idx="309">
                  <c:v>61.28</c:v>
                </c:pt>
                <c:pt idx="310">
                  <c:v>61.26</c:v>
                </c:pt>
                <c:pt idx="311">
                  <c:v>61.2</c:v>
                </c:pt>
                <c:pt idx="312">
                  <c:v>61.19</c:v>
                </c:pt>
                <c:pt idx="313">
                  <c:v>61.06</c:v>
                </c:pt>
                <c:pt idx="314">
                  <c:v>61.02</c:v>
                </c:pt>
                <c:pt idx="315">
                  <c:v>60.58</c:v>
                </c:pt>
                <c:pt idx="316">
                  <c:v>60.5</c:v>
                </c:pt>
                <c:pt idx="317">
                  <c:v>60.49</c:v>
                </c:pt>
                <c:pt idx="318">
                  <c:v>60.12</c:v>
                </c:pt>
                <c:pt idx="319">
                  <c:v>59.93</c:v>
                </c:pt>
                <c:pt idx="320">
                  <c:v>59.74</c:v>
                </c:pt>
                <c:pt idx="321">
                  <c:v>59.62</c:v>
                </c:pt>
                <c:pt idx="322">
                  <c:v>59.47</c:v>
                </c:pt>
                <c:pt idx="323">
                  <c:v>59.39</c:v>
                </c:pt>
                <c:pt idx="324">
                  <c:v>59.31</c:v>
                </c:pt>
                <c:pt idx="325">
                  <c:v>59.23</c:v>
                </c:pt>
                <c:pt idx="326">
                  <c:v>59.17</c:v>
                </c:pt>
                <c:pt idx="327">
                  <c:v>58.99</c:v>
                </c:pt>
                <c:pt idx="328">
                  <c:v>58.89</c:v>
                </c:pt>
                <c:pt idx="329">
                  <c:v>58.86</c:v>
                </c:pt>
                <c:pt idx="330">
                  <c:v>58.85</c:v>
                </c:pt>
                <c:pt idx="331">
                  <c:v>58.41</c:v>
                </c:pt>
                <c:pt idx="332">
                  <c:v>58.26</c:v>
                </c:pt>
                <c:pt idx="333">
                  <c:v>58.17</c:v>
                </c:pt>
                <c:pt idx="334">
                  <c:v>58.01</c:v>
                </c:pt>
                <c:pt idx="335">
                  <c:v>58.01</c:v>
                </c:pt>
                <c:pt idx="336">
                  <c:v>58</c:v>
                </c:pt>
                <c:pt idx="337">
                  <c:v>57.95</c:v>
                </c:pt>
                <c:pt idx="338">
                  <c:v>57.9</c:v>
                </c:pt>
                <c:pt idx="339">
                  <c:v>57.83</c:v>
                </c:pt>
                <c:pt idx="340">
                  <c:v>57.6</c:v>
                </c:pt>
                <c:pt idx="341">
                  <c:v>57.53</c:v>
                </c:pt>
                <c:pt idx="342">
                  <c:v>57.47</c:v>
                </c:pt>
                <c:pt idx="343">
                  <c:v>57.43</c:v>
                </c:pt>
                <c:pt idx="344">
                  <c:v>57.42</c:v>
                </c:pt>
                <c:pt idx="345">
                  <c:v>57.18</c:v>
                </c:pt>
                <c:pt idx="346">
                  <c:v>57.16</c:v>
                </c:pt>
                <c:pt idx="347">
                  <c:v>57.02</c:v>
                </c:pt>
                <c:pt idx="348">
                  <c:v>57.01</c:v>
                </c:pt>
                <c:pt idx="349">
                  <c:v>57</c:v>
                </c:pt>
                <c:pt idx="350">
                  <c:v>56.8</c:v>
                </c:pt>
                <c:pt idx="351">
                  <c:v>56.7</c:v>
                </c:pt>
                <c:pt idx="352">
                  <c:v>56.66</c:v>
                </c:pt>
                <c:pt idx="353">
                  <c:v>56.59</c:v>
                </c:pt>
                <c:pt idx="354">
                  <c:v>56.55</c:v>
                </c:pt>
                <c:pt idx="355">
                  <c:v>56.39</c:v>
                </c:pt>
                <c:pt idx="356">
                  <c:v>56.37</c:v>
                </c:pt>
                <c:pt idx="357">
                  <c:v>56.36</c:v>
                </c:pt>
                <c:pt idx="358">
                  <c:v>56.08</c:v>
                </c:pt>
                <c:pt idx="359">
                  <c:v>55.94</c:v>
                </c:pt>
                <c:pt idx="360">
                  <c:v>55.88</c:v>
                </c:pt>
                <c:pt idx="361">
                  <c:v>55.73</c:v>
                </c:pt>
                <c:pt idx="362">
                  <c:v>55.63</c:v>
                </c:pt>
                <c:pt idx="363">
                  <c:v>55.6</c:v>
                </c:pt>
                <c:pt idx="364">
                  <c:v>55.5</c:v>
                </c:pt>
                <c:pt idx="365">
                  <c:v>55.46</c:v>
                </c:pt>
                <c:pt idx="366">
                  <c:v>55.42</c:v>
                </c:pt>
                <c:pt idx="367">
                  <c:v>55.41</c:v>
                </c:pt>
                <c:pt idx="368">
                  <c:v>55.39</c:v>
                </c:pt>
                <c:pt idx="369">
                  <c:v>55.31</c:v>
                </c:pt>
                <c:pt idx="370">
                  <c:v>55.3</c:v>
                </c:pt>
                <c:pt idx="371">
                  <c:v>55.21</c:v>
                </c:pt>
                <c:pt idx="372">
                  <c:v>55.1</c:v>
                </c:pt>
                <c:pt idx="373">
                  <c:v>55.07</c:v>
                </c:pt>
                <c:pt idx="374">
                  <c:v>54.95</c:v>
                </c:pt>
                <c:pt idx="375">
                  <c:v>54.93</c:v>
                </c:pt>
                <c:pt idx="376">
                  <c:v>54.85</c:v>
                </c:pt>
                <c:pt idx="377">
                  <c:v>54.74</c:v>
                </c:pt>
                <c:pt idx="378">
                  <c:v>54.71</c:v>
                </c:pt>
                <c:pt idx="379">
                  <c:v>54.57</c:v>
                </c:pt>
                <c:pt idx="380">
                  <c:v>54.57</c:v>
                </c:pt>
                <c:pt idx="381">
                  <c:v>54.56</c:v>
                </c:pt>
                <c:pt idx="382">
                  <c:v>54.51</c:v>
                </c:pt>
                <c:pt idx="383">
                  <c:v>54.49</c:v>
                </c:pt>
                <c:pt idx="384">
                  <c:v>54.32</c:v>
                </c:pt>
                <c:pt idx="385">
                  <c:v>54.28</c:v>
                </c:pt>
                <c:pt idx="386">
                  <c:v>53.96</c:v>
                </c:pt>
                <c:pt idx="387">
                  <c:v>53.91</c:v>
                </c:pt>
                <c:pt idx="388">
                  <c:v>53.62</c:v>
                </c:pt>
                <c:pt idx="389">
                  <c:v>53.57</c:v>
                </c:pt>
                <c:pt idx="390">
                  <c:v>53.52</c:v>
                </c:pt>
                <c:pt idx="391">
                  <c:v>53.51</c:v>
                </c:pt>
                <c:pt idx="392">
                  <c:v>53.41</c:v>
                </c:pt>
                <c:pt idx="393">
                  <c:v>53.41</c:v>
                </c:pt>
                <c:pt idx="394">
                  <c:v>53.4</c:v>
                </c:pt>
                <c:pt idx="395">
                  <c:v>53.2</c:v>
                </c:pt>
                <c:pt idx="396">
                  <c:v>53.17</c:v>
                </c:pt>
                <c:pt idx="397">
                  <c:v>53</c:v>
                </c:pt>
                <c:pt idx="398">
                  <c:v>52.97</c:v>
                </c:pt>
                <c:pt idx="399">
                  <c:v>52.93</c:v>
                </c:pt>
                <c:pt idx="400">
                  <c:v>52.93</c:v>
                </c:pt>
                <c:pt idx="401">
                  <c:v>52.91</c:v>
                </c:pt>
                <c:pt idx="402">
                  <c:v>52.87</c:v>
                </c:pt>
                <c:pt idx="403">
                  <c:v>52.84</c:v>
                </c:pt>
                <c:pt idx="404">
                  <c:v>52.61</c:v>
                </c:pt>
                <c:pt idx="405">
                  <c:v>52.51</c:v>
                </c:pt>
                <c:pt idx="406">
                  <c:v>52.51</c:v>
                </c:pt>
                <c:pt idx="407">
                  <c:v>52.45</c:v>
                </c:pt>
                <c:pt idx="408">
                  <c:v>52.4</c:v>
                </c:pt>
                <c:pt idx="409">
                  <c:v>52.36</c:v>
                </c:pt>
                <c:pt idx="410">
                  <c:v>52.3</c:v>
                </c:pt>
                <c:pt idx="411">
                  <c:v>52.1</c:v>
                </c:pt>
                <c:pt idx="412">
                  <c:v>52.08</c:v>
                </c:pt>
                <c:pt idx="413">
                  <c:v>52.07</c:v>
                </c:pt>
                <c:pt idx="414">
                  <c:v>51.99</c:v>
                </c:pt>
                <c:pt idx="415">
                  <c:v>51.98</c:v>
                </c:pt>
                <c:pt idx="416">
                  <c:v>51.97</c:v>
                </c:pt>
                <c:pt idx="417">
                  <c:v>51.89</c:v>
                </c:pt>
                <c:pt idx="418">
                  <c:v>51.82</c:v>
                </c:pt>
                <c:pt idx="419">
                  <c:v>51.69</c:v>
                </c:pt>
                <c:pt idx="420">
                  <c:v>51.67</c:v>
                </c:pt>
                <c:pt idx="421">
                  <c:v>51.67</c:v>
                </c:pt>
                <c:pt idx="422">
                  <c:v>51.43</c:v>
                </c:pt>
                <c:pt idx="423">
                  <c:v>51.36</c:v>
                </c:pt>
                <c:pt idx="424">
                  <c:v>51.35</c:v>
                </c:pt>
                <c:pt idx="425">
                  <c:v>51.33</c:v>
                </c:pt>
                <c:pt idx="426">
                  <c:v>51.14</c:v>
                </c:pt>
                <c:pt idx="427">
                  <c:v>51.12</c:v>
                </c:pt>
                <c:pt idx="428">
                  <c:v>51</c:v>
                </c:pt>
                <c:pt idx="429">
                  <c:v>51</c:v>
                </c:pt>
                <c:pt idx="430">
                  <c:v>50.94</c:v>
                </c:pt>
                <c:pt idx="431">
                  <c:v>50.93</c:v>
                </c:pt>
                <c:pt idx="432">
                  <c:v>50.83</c:v>
                </c:pt>
                <c:pt idx="433">
                  <c:v>50.8</c:v>
                </c:pt>
                <c:pt idx="434">
                  <c:v>50.74</c:v>
                </c:pt>
                <c:pt idx="435">
                  <c:v>50.66</c:v>
                </c:pt>
                <c:pt idx="436">
                  <c:v>50.65</c:v>
                </c:pt>
                <c:pt idx="437">
                  <c:v>50.62</c:v>
                </c:pt>
                <c:pt idx="438">
                  <c:v>50.61</c:v>
                </c:pt>
                <c:pt idx="439">
                  <c:v>50.46</c:v>
                </c:pt>
                <c:pt idx="440">
                  <c:v>50.34</c:v>
                </c:pt>
                <c:pt idx="441">
                  <c:v>50.33</c:v>
                </c:pt>
                <c:pt idx="442">
                  <c:v>50.33</c:v>
                </c:pt>
                <c:pt idx="443">
                  <c:v>50.29</c:v>
                </c:pt>
                <c:pt idx="444">
                  <c:v>50.27</c:v>
                </c:pt>
                <c:pt idx="445">
                  <c:v>50.18</c:v>
                </c:pt>
                <c:pt idx="446">
                  <c:v>50.07</c:v>
                </c:pt>
                <c:pt idx="447">
                  <c:v>49.92</c:v>
                </c:pt>
                <c:pt idx="448">
                  <c:v>49.81</c:v>
                </c:pt>
                <c:pt idx="449">
                  <c:v>49.8</c:v>
                </c:pt>
                <c:pt idx="450">
                  <c:v>49.61</c:v>
                </c:pt>
                <c:pt idx="451">
                  <c:v>49.54</c:v>
                </c:pt>
                <c:pt idx="452">
                  <c:v>49.48</c:v>
                </c:pt>
                <c:pt idx="453">
                  <c:v>49.27</c:v>
                </c:pt>
                <c:pt idx="454">
                  <c:v>49.24</c:v>
                </c:pt>
                <c:pt idx="455">
                  <c:v>48.99</c:v>
                </c:pt>
                <c:pt idx="456">
                  <c:v>48.83</c:v>
                </c:pt>
                <c:pt idx="457">
                  <c:v>48.8</c:v>
                </c:pt>
                <c:pt idx="458">
                  <c:v>48.57</c:v>
                </c:pt>
                <c:pt idx="459">
                  <c:v>48.4</c:v>
                </c:pt>
                <c:pt idx="460">
                  <c:v>48.26</c:v>
                </c:pt>
                <c:pt idx="461">
                  <c:v>48.18</c:v>
                </c:pt>
                <c:pt idx="462">
                  <c:v>48.14</c:v>
                </c:pt>
                <c:pt idx="463">
                  <c:v>47.98</c:v>
                </c:pt>
                <c:pt idx="464">
                  <c:v>47.91</c:v>
                </c:pt>
                <c:pt idx="465">
                  <c:v>47.75</c:v>
                </c:pt>
                <c:pt idx="466">
                  <c:v>47.74</c:v>
                </c:pt>
                <c:pt idx="467">
                  <c:v>47.74</c:v>
                </c:pt>
                <c:pt idx="468">
                  <c:v>47.69</c:v>
                </c:pt>
                <c:pt idx="469">
                  <c:v>47.61</c:v>
                </c:pt>
                <c:pt idx="470">
                  <c:v>47.5</c:v>
                </c:pt>
                <c:pt idx="471">
                  <c:v>47.37</c:v>
                </c:pt>
                <c:pt idx="472">
                  <c:v>47.3</c:v>
                </c:pt>
                <c:pt idx="473">
                  <c:v>47.22</c:v>
                </c:pt>
                <c:pt idx="474">
                  <c:v>47.22</c:v>
                </c:pt>
                <c:pt idx="475">
                  <c:v>47.04</c:v>
                </c:pt>
                <c:pt idx="476">
                  <c:v>46.9</c:v>
                </c:pt>
                <c:pt idx="477">
                  <c:v>46.8</c:v>
                </c:pt>
                <c:pt idx="478">
                  <c:v>46.77</c:v>
                </c:pt>
                <c:pt idx="479">
                  <c:v>46.76</c:v>
                </c:pt>
                <c:pt idx="480">
                  <c:v>46.56</c:v>
                </c:pt>
                <c:pt idx="481">
                  <c:v>46.56</c:v>
                </c:pt>
                <c:pt idx="482">
                  <c:v>46.33</c:v>
                </c:pt>
                <c:pt idx="483">
                  <c:v>46.24</c:v>
                </c:pt>
                <c:pt idx="484">
                  <c:v>46.17</c:v>
                </c:pt>
                <c:pt idx="485">
                  <c:v>45.92</c:v>
                </c:pt>
                <c:pt idx="486">
                  <c:v>45.88</c:v>
                </c:pt>
                <c:pt idx="487">
                  <c:v>45.83</c:v>
                </c:pt>
                <c:pt idx="488">
                  <c:v>45.79</c:v>
                </c:pt>
                <c:pt idx="489">
                  <c:v>45.76</c:v>
                </c:pt>
                <c:pt idx="490">
                  <c:v>45.75</c:v>
                </c:pt>
                <c:pt idx="491">
                  <c:v>45.66</c:v>
                </c:pt>
                <c:pt idx="492">
                  <c:v>45.65</c:v>
                </c:pt>
                <c:pt idx="493">
                  <c:v>45.31</c:v>
                </c:pt>
                <c:pt idx="494">
                  <c:v>45.03</c:v>
                </c:pt>
                <c:pt idx="495">
                  <c:v>44.95</c:v>
                </c:pt>
                <c:pt idx="496">
                  <c:v>44.87</c:v>
                </c:pt>
                <c:pt idx="497">
                  <c:v>44.82</c:v>
                </c:pt>
                <c:pt idx="498">
                  <c:v>44.64</c:v>
                </c:pt>
                <c:pt idx="499">
                  <c:v>44.63</c:v>
                </c:pt>
                <c:pt idx="500">
                  <c:v>44.6</c:v>
                </c:pt>
                <c:pt idx="501">
                  <c:v>44.4</c:v>
                </c:pt>
                <c:pt idx="502">
                  <c:v>44.39</c:v>
                </c:pt>
                <c:pt idx="503">
                  <c:v>44.37</c:v>
                </c:pt>
                <c:pt idx="504">
                  <c:v>44.29</c:v>
                </c:pt>
                <c:pt idx="505">
                  <c:v>44.27</c:v>
                </c:pt>
                <c:pt idx="506">
                  <c:v>44.25</c:v>
                </c:pt>
                <c:pt idx="507">
                  <c:v>44.23</c:v>
                </c:pt>
                <c:pt idx="508">
                  <c:v>44.21</c:v>
                </c:pt>
                <c:pt idx="509">
                  <c:v>44.09</c:v>
                </c:pt>
                <c:pt idx="510">
                  <c:v>43.97</c:v>
                </c:pt>
                <c:pt idx="511">
                  <c:v>43.95</c:v>
                </c:pt>
                <c:pt idx="512">
                  <c:v>43.95</c:v>
                </c:pt>
                <c:pt idx="513">
                  <c:v>43.81</c:v>
                </c:pt>
                <c:pt idx="514">
                  <c:v>43.75</c:v>
                </c:pt>
                <c:pt idx="515">
                  <c:v>43.55</c:v>
                </c:pt>
                <c:pt idx="516">
                  <c:v>43.41</c:v>
                </c:pt>
                <c:pt idx="517">
                  <c:v>43.32</c:v>
                </c:pt>
                <c:pt idx="518">
                  <c:v>43.28</c:v>
                </c:pt>
                <c:pt idx="519">
                  <c:v>43.26</c:v>
                </c:pt>
                <c:pt idx="520">
                  <c:v>43.2</c:v>
                </c:pt>
                <c:pt idx="521">
                  <c:v>43.18</c:v>
                </c:pt>
                <c:pt idx="522">
                  <c:v>43.17</c:v>
                </c:pt>
                <c:pt idx="523">
                  <c:v>42.98</c:v>
                </c:pt>
                <c:pt idx="524">
                  <c:v>42.91</c:v>
                </c:pt>
                <c:pt idx="525">
                  <c:v>42.69</c:v>
                </c:pt>
                <c:pt idx="526">
                  <c:v>42.51</c:v>
                </c:pt>
                <c:pt idx="527">
                  <c:v>42.46</c:v>
                </c:pt>
                <c:pt idx="528">
                  <c:v>42.33</c:v>
                </c:pt>
                <c:pt idx="529">
                  <c:v>42.26</c:v>
                </c:pt>
                <c:pt idx="530">
                  <c:v>42.13</c:v>
                </c:pt>
                <c:pt idx="531">
                  <c:v>42.01</c:v>
                </c:pt>
                <c:pt idx="532">
                  <c:v>42.01</c:v>
                </c:pt>
                <c:pt idx="533">
                  <c:v>42.01</c:v>
                </c:pt>
                <c:pt idx="534">
                  <c:v>41.82</c:v>
                </c:pt>
                <c:pt idx="535">
                  <c:v>41.59</c:v>
                </c:pt>
                <c:pt idx="536">
                  <c:v>41.49</c:v>
                </c:pt>
                <c:pt idx="537">
                  <c:v>41.34</c:v>
                </c:pt>
                <c:pt idx="538">
                  <c:v>41.24</c:v>
                </c:pt>
                <c:pt idx="539">
                  <c:v>41.23</c:v>
                </c:pt>
                <c:pt idx="540">
                  <c:v>40.880000000000003</c:v>
                </c:pt>
                <c:pt idx="541">
                  <c:v>40.86</c:v>
                </c:pt>
                <c:pt idx="542">
                  <c:v>40.79</c:v>
                </c:pt>
                <c:pt idx="543">
                  <c:v>40.19</c:v>
                </c:pt>
                <c:pt idx="544">
                  <c:v>40.15</c:v>
                </c:pt>
                <c:pt idx="545">
                  <c:v>40.14</c:v>
                </c:pt>
                <c:pt idx="546">
                  <c:v>39.99</c:v>
                </c:pt>
                <c:pt idx="547">
                  <c:v>39.82</c:v>
                </c:pt>
                <c:pt idx="548">
                  <c:v>39.72</c:v>
                </c:pt>
                <c:pt idx="549">
                  <c:v>39.58</c:v>
                </c:pt>
                <c:pt idx="550">
                  <c:v>39.54</c:v>
                </c:pt>
                <c:pt idx="551">
                  <c:v>39.17</c:v>
                </c:pt>
                <c:pt idx="552">
                  <c:v>38.9</c:v>
                </c:pt>
                <c:pt idx="553">
                  <c:v>38.86</c:v>
                </c:pt>
                <c:pt idx="554">
                  <c:v>38.69</c:v>
                </c:pt>
                <c:pt idx="555">
                  <c:v>38.61</c:v>
                </c:pt>
                <c:pt idx="556">
                  <c:v>38.450000000000003</c:v>
                </c:pt>
                <c:pt idx="557">
                  <c:v>38.24</c:v>
                </c:pt>
                <c:pt idx="558">
                  <c:v>38.17</c:v>
                </c:pt>
                <c:pt idx="559">
                  <c:v>38.1</c:v>
                </c:pt>
                <c:pt idx="560">
                  <c:v>38.090000000000003</c:v>
                </c:pt>
                <c:pt idx="561">
                  <c:v>37.869999999999997</c:v>
                </c:pt>
                <c:pt idx="562">
                  <c:v>37.83</c:v>
                </c:pt>
                <c:pt idx="563">
                  <c:v>37.46</c:v>
                </c:pt>
                <c:pt idx="564">
                  <c:v>37.39</c:v>
                </c:pt>
                <c:pt idx="565">
                  <c:v>37.07</c:v>
                </c:pt>
                <c:pt idx="566">
                  <c:v>36.99</c:v>
                </c:pt>
                <c:pt idx="567">
                  <c:v>36.72</c:v>
                </c:pt>
                <c:pt idx="568">
                  <c:v>36.71</c:v>
                </c:pt>
                <c:pt idx="569">
                  <c:v>36.58</c:v>
                </c:pt>
                <c:pt idx="570">
                  <c:v>36.57</c:v>
                </c:pt>
                <c:pt idx="571">
                  <c:v>36.51</c:v>
                </c:pt>
                <c:pt idx="572">
                  <c:v>36.31</c:v>
                </c:pt>
                <c:pt idx="573">
                  <c:v>36.21</c:v>
                </c:pt>
                <c:pt idx="574">
                  <c:v>36.200000000000003</c:v>
                </c:pt>
                <c:pt idx="575">
                  <c:v>35.799999999999997</c:v>
                </c:pt>
                <c:pt idx="576">
                  <c:v>35.78</c:v>
                </c:pt>
                <c:pt idx="577">
                  <c:v>35.75</c:v>
                </c:pt>
                <c:pt idx="578">
                  <c:v>35.58</c:v>
                </c:pt>
                <c:pt idx="579">
                  <c:v>35.53</c:v>
                </c:pt>
                <c:pt idx="580">
                  <c:v>35.380000000000003</c:v>
                </c:pt>
                <c:pt idx="581">
                  <c:v>35.26</c:v>
                </c:pt>
                <c:pt idx="582">
                  <c:v>35.11</c:v>
                </c:pt>
                <c:pt idx="583">
                  <c:v>35.03</c:v>
                </c:pt>
                <c:pt idx="584">
                  <c:v>34.97</c:v>
                </c:pt>
                <c:pt idx="585">
                  <c:v>34.770000000000003</c:v>
                </c:pt>
                <c:pt idx="586">
                  <c:v>34.53</c:v>
                </c:pt>
                <c:pt idx="587">
                  <c:v>34.47</c:v>
                </c:pt>
                <c:pt idx="588">
                  <c:v>34.409999999999997</c:v>
                </c:pt>
                <c:pt idx="589">
                  <c:v>34.28</c:v>
                </c:pt>
                <c:pt idx="590">
                  <c:v>34.049999999999997</c:v>
                </c:pt>
                <c:pt idx="591">
                  <c:v>33.97</c:v>
                </c:pt>
                <c:pt idx="592">
                  <c:v>33.450000000000003</c:v>
                </c:pt>
                <c:pt idx="593">
                  <c:v>33.18</c:v>
                </c:pt>
                <c:pt idx="594">
                  <c:v>33.049999999999997</c:v>
                </c:pt>
                <c:pt idx="595">
                  <c:v>33.03</c:v>
                </c:pt>
                <c:pt idx="596">
                  <c:v>32.700000000000003</c:v>
                </c:pt>
                <c:pt idx="597">
                  <c:v>31.75</c:v>
                </c:pt>
                <c:pt idx="598">
                  <c:v>31.65</c:v>
                </c:pt>
                <c:pt idx="599">
                  <c:v>31.57</c:v>
                </c:pt>
                <c:pt idx="600">
                  <c:v>31.48</c:v>
                </c:pt>
                <c:pt idx="601">
                  <c:v>31.37</c:v>
                </c:pt>
                <c:pt idx="602">
                  <c:v>31.21</c:v>
                </c:pt>
                <c:pt idx="603">
                  <c:v>31.1</c:v>
                </c:pt>
                <c:pt idx="604">
                  <c:v>30.81</c:v>
                </c:pt>
                <c:pt idx="605">
                  <c:v>30.74</c:v>
                </c:pt>
                <c:pt idx="606">
                  <c:v>30.68</c:v>
                </c:pt>
                <c:pt idx="607">
                  <c:v>30.67</c:v>
                </c:pt>
                <c:pt idx="608">
                  <c:v>30.62</c:v>
                </c:pt>
                <c:pt idx="609">
                  <c:v>30.33</c:v>
                </c:pt>
                <c:pt idx="610">
                  <c:v>29.99</c:v>
                </c:pt>
                <c:pt idx="611">
                  <c:v>29.32</c:v>
                </c:pt>
                <c:pt idx="612">
                  <c:v>29.17</c:v>
                </c:pt>
                <c:pt idx="613">
                  <c:v>28.76</c:v>
                </c:pt>
                <c:pt idx="614">
                  <c:v>28.75</c:v>
                </c:pt>
                <c:pt idx="615">
                  <c:v>28.32</c:v>
                </c:pt>
                <c:pt idx="616">
                  <c:v>28.16</c:v>
                </c:pt>
                <c:pt idx="617">
                  <c:v>27.84</c:v>
                </c:pt>
                <c:pt idx="618">
                  <c:v>27.64</c:v>
                </c:pt>
                <c:pt idx="619">
                  <c:v>26.77</c:v>
                </c:pt>
                <c:pt idx="620">
                  <c:v>26.63</c:v>
                </c:pt>
                <c:pt idx="621">
                  <c:v>26.08</c:v>
                </c:pt>
                <c:pt idx="622">
                  <c:v>26.05</c:v>
                </c:pt>
                <c:pt idx="623">
                  <c:v>25.68</c:v>
                </c:pt>
                <c:pt idx="624">
                  <c:v>25.28</c:v>
                </c:pt>
                <c:pt idx="625">
                  <c:v>24.63</c:v>
                </c:pt>
                <c:pt idx="626">
                  <c:v>24.61</c:v>
                </c:pt>
                <c:pt idx="627">
                  <c:v>24.34</c:v>
                </c:pt>
                <c:pt idx="628">
                  <c:v>23.5</c:v>
                </c:pt>
                <c:pt idx="629">
                  <c:v>23.33</c:v>
                </c:pt>
                <c:pt idx="630">
                  <c:v>23.31</c:v>
                </c:pt>
                <c:pt idx="631">
                  <c:v>22.81</c:v>
                </c:pt>
                <c:pt idx="632">
                  <c:v>22.59</c:v>
                </c:pt>
                <c:pt idx="633">
                  <c:v>22.58</c:v>
                </c:pt>
                <c:pt idx="634">
                  <c:v>22.54</c:v>
                </c:pt>
                <c:pt idx="635">
                  <c:v>22.47</c:v>
                </c:pt>
                <c:pt idx="636">
                  <c:v>21.99</c:v>
                </c:pt>
                <c:pt idx="637">
                  <c:v>21.98</c:v>
                </c:pt>
                <c:pt idx="638">
                  <c:v>21.73</c:v>
                </c:pt>
                <c:pt idx="639">
                  <c:v>21.46</c:v>
                </c:pt>
                <c:pt idx="640">
                  <c:v>21.1</c:v>
                </c:pt>
                <c:pt idx="641">
                  <c:v>20.84</c:v>
                </c:pt>
                <c:pt idx="642">
                  <c:v>20.309999999999999</c:v>
                </c:pt>
                <c:pt idx="643">
                  <c:v>20.170000000000002</c:v>
                </c:pt>
                <c:pt idx="644">
                  <c:v>19.02</c:v>
                </c:pt>
                <c:pt idx="645">
                  <c:v>19.010000000000002</c:v>
                </c:pt>
                <c:pt idx="646">
                  <c:v>18.52</c:v>
                </c:pt>
                <c:pt idx="647">
                  <c:v>18.28</c:v>
                </c:pt>
                <c:pt idx="648">
                  <c:v>17.32</c:v>
                </c:pt>
                <c:pt idx="649">
                  <c:v>16.579999999999998</c:v>
                </c:pt>
                <c:pt idx="650">
                  <c:v>14</c:v>
                </c:pt>
                <c:pt idx="651">
                  <c:v>12.65</c:v>
                </c:pt>
                <c:pt idx="652">
                  <c:v>11.95</c:v>
                </c:pt>
                <c:pt idx="653">
                  <c:v>11.14</c:v>
                </c:pt>
                <c:pt idx="654">
                  <c:v>10.96</c:v>
                </c:pt>
                <c:pt idx="655">
                  <c:v>9.8000000000000007</c:v>
                </c:pt>
                <c:pt idx="656">
                  <c:v>9.23</c:v>
                </c:pt>
                <c:pt idx="657">
                  <c:v>8.69</c:v>
                </c:pt>
                <c:pt idx="658">
                  <c:v>8</c:v>
                </c:pt>
                <c:pt idx="659">
                  <c:v>6.97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D-468E-ADC9-1F63F22B0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796944"/>
        <c:axId val="392118112"/>
      </c:scatterChart>
      <c:valAx>
        <c:axId val="115179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d'achat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2118112"/>
        <c:crosses val="autoZero"/>
        <c:crossBetween val="midCat"/>
      </c:valAx>
      <c:valAx>
        <c:axId val="39211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glow rad="127000">
                <a:schemeClr val="bg2"/>
              </a:glow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 du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179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tx2"/>
                </a:solidFill>
              </a:rPr>
              <a:t>Chiffre d'affaires par Categorie</a:t>
            </a:r>
          </a:p>
        </c:rich>
      </c:tx>
      <c:overlay val="0"/>
      <c:spPr>
        <a:gradFill flip="none" rotWithShape="1">
          <a:gsLst>
            <a:gs pos="2000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66-4643-BA9A-73F065C96FD8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66-4643-BA9A-73F065C96FD8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bien de conso.</c:v>
              </c:pt>
              <c:pt idx="1">
                <c:v>nourriture</c:v>
              </c:pt>
            </c:strLit>
          </c:cat>
          <c:val>
            <c:numLit>
              <c:formatCode>General</c:formatCode>
              <c:ptCount val="2"/>
              <c:pt idx="0">
                <c:v>0.37223619560131033</c:v>
              </c:pt>
              <c:pt idx="1">
                <c:v>0.62776380439869028</c:v>
              </c:pt>
            </c:numLit>
          </c:val>
          <c:extLst>
            <c:ext xmlns:c16="http://schemas.microsoft.com/office/drawing/2014/chart" uri="{C3380CC4-5D6E-409C-BE32-E72D297353CC}">
              <c16:uniqueId val="{00000004-F366-4643-BA9A-73F065C96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722370039212598"/>
          <c:y val="0.26890255318944645"/>
          <c:w val="8.4993966434575616E-2"/>
          <c:h val="0.1683609807745938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sz="1800" b="1">
                <a:solidFill>
                  <a:sysClr val="windowText" lastClr="000000"/>
                </a:solidFill>
              </a:rPr>
              <a:t>Chiffre</a:t>
            </a:r>
            <a:r>
              <a:rPr lang="fr-FR" sz="1800" b="1" baseline="0">
                <a:solidFill>
                  <a:sysClr val="windowText" lastClr="000000"/>
                </a:solidFill>
              </a:rPr>
              <a:t> d'affaires par catégorie</a:t>
            </a:r>
            <a:endParaRPr lang="fr-FR" sz="1800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chemeClr val="accent2">
            <a:lumMod val="75000"/>
          </a:schemeClr>
        </a:solidFill>
        <a:ln>
          <a:solidFill>
            <a:schemeClr val="accent1">
              <a:lumMod val="40000"/>
              <a:lumOff val="60000"/>
              <a:alpha val="9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bord'!$A$8:$A$10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bord'!$I$8:$I$10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107400.82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A-4153-BBE9-04BE4002D8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1888688"/>
        <c:axId val="235958720"/>
      </c:barChart>
      <c:catAx>
        <c:axId val="167188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958720"/>
        <c:crosses val="autoZero"/>
        <c:auto val="1"/>
        <c:lblAlgn val="ctr"/>
        <c:lblOffset val="100"/>
        <c:noMultiLvlLbl val="0"/>
      </c:catAx>
      <c:valAx>
        <c:axId val="23595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88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pct70">
      <a:fgClr>
        <a:schemeClr val="accent1">
          <a:lumMod val="40000"/>
          <a:lumOff val="60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sz="1800">
                <a:solidFill>
                  <a:sysClr val="windowText" lastClr="000000"/>
                </a:solidFill>
              </a:rPr>
              <a:t>Top 10 des clients par catégorie </a:t>
            </a:r>
          </a:p>
        </c:rich>
      </c:tx>
      <c:overlay val="0"/>
      <c:spPr>
        <a:solidFill>
          <a:srgbClr val="ED7D31"/>
        </a:solidFill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t" anchorCtr="0">
                <a:spAutoFit/>
              </a:bodyPr>
              <a:lstStyle/>
              <a:p>
                <a:pPr algn="ctr"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Feuil11!$I$6:$I$15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E-4237-90FC-33F9F7F1F596}"/>
            </c:ext>
          </c:extLst>
        </c:ser>
        <c:ser>
          <c:idx val="1"/>
          <c:order val="1"/>
          <c:tx>
            <c:v>bien de conso.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 algn="r"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Feuil11!$J$6:$J$15</c:f>
              <c:numCache>
                <c:formatCode>#\ ##0.00\ "€"</c:formatCode>
                <c:ptCount val="10"/>
                <c:pt idx="0">
                  <c:v>631.71</c:v>
                </c:pt>
                <c:pt idx="1">
                  <c:v>368.73999999999995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368.79999999999995</c:v>
                </c:pt>
                <c:pt idx="5">
                  <c:v>482.34000000000003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2BCE-4237-90FC-33F9F7F1F596}"/>
            </c:ext>
          </c:extLst>
        </c:ser>
        <c:ser>
          <c:idx val="2"/>
          <c:order val="2"/>
          <c:tx>
            <c:v>nourriture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Feuil11!$K$6:$K$15</c:f>
              <c:numCache>
                <c:formatCode>#\ ##0.00\ "€"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719.2399999999999</c:v>
                </c:pt>
                <c:pt idx="3">
                  <c:v>729.21</c:v>
                </c:pt>
                <c:pt idx="4">
                  <c:v>779.14999999999986</c:v>
                </c:pt>
                <c:pt idx="5">
                  <c:v>639.66000000000008</c:v>
                </c:pt>
                <c:pt idx="6">
                  <c:v>525.25</c:v>
                </c:pt>
                <c:pt idx="7">
                  <c:v>526.25</c:v>
                </c:pt>
                <c:pt idx="8">
                  <c:v>872.34</c:v>
                </c:pt>
                <c:pt idx="9">
                  <c:v>743.33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2BCE-4237-90FC-33F9F7F1F596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881625472"/>
        <c:axId val="336569488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v>Total des achats</c:v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Feuil11!$L$6:$L$15</c15:sqref>
                        </c15:formulaRef>
                      </c:ext>
                    </c:extLst>
                    <c:numCache>
                      <c:formatCode>#\ ##0.00\ "€"</c:formatCode>
                      <c:ptCount val="10"/>
                      <c:pt idx="0">
                        <c:v>1510.3300000000002</c:v>
                      </c:pt>
                      <c:pt idx="1">
                        <c:v>1397.15</c:v>
                      </c:pt>
                      <c:pt idx="2">
                        <c:v>1338.75</c:v>
                      </c:pt>
                      <c:pt idx="3">
                        <c:v>1234.8499999999999</c:v>
                      </c:pt>
                      <c:pt idx="4">
                        <c:v>1147.9499999999998</c:v>
                      </c:pt>
                      <c:pt idx="5">
                        <c:v>1122</c:v>
                      </c:pt>
                      <c:pt idx="6">
                        <c:v>1115.21</c:v>
                      </c:pt>
                      <c:pt idx="7">
                        <c:v>1095.01</c:v>
                      </c:pt>
                      <c:pt idx="8">
                        <c:v>1063</c:v>
                      </c:pt>
                      <c:pt idx="9">
                        <c:v>1034.7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BCE-4237-90FC-33F9F7F1F596}"/>
                  </c:ext>
                </c:extLst>
              </c15:ser>
            </c15:filteredBarSeries>
          </c:ext>
        </c:extLst>
      </c:barChart>
      <c:dateAx>
        <c:axId val="188162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6569488"/>
        <c:crosses val="autoZero"/>
        <c:auto val="0"/>
        <c:lblOffset val="100"/>
        <c:baseTimeUnit val="days"/>
      </c:dateAx>
      <c:valAx>
        <c:axId val="336569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Valeur d'achats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162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Top 10 des clients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t" anchorCtr="0">
                <a:spAutoFit/>
              </a:bodyPr>
              <a:lstStyle/>
              <a:p>
                <a:pPr algn="ctr"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Feuil11!$I$6:$I$15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2-4EE3-8410-99CC3B77B090}"/>
            </c:ext>
          </c:extLst>
        </c:ser>
        <c:ser>
          <c:idx val="1"/>
          <c:order val="1"/>
          <c:tx>
            <c:v>bien de conso.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 algn="r"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Feuil11!$J$6:$J$15</c:f>
              <c:numCache>
                <c:formatCode>#\ ##0.00\ "€"</c:formatCode>
                <c:ptCount val="10"/>
                <c:pt idx="0">
                  <c:v>631.71</c:v>
                </c:pt>
                <c:pt idx="1">
                  <c:v>368.73999999999995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368.79999999999995</c:v>
                </c:pt>
                <c:pt idx="5">
                  <c:v>482.34000000000003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1-2392-4EE3-8410-99CC3B77B090}"/>
            </c:ext>
          </c:extLst>
        </c:ser>
        <c:ser>
          <c:idx val="2"/>
          <c:order val="2"/>
          <c:tx>
            <c:v>nourriture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Feuil11!$K$6:$K$15</c:f>
              <c:numCache>
                <c:formatCode>#\ ##0.00\ "€"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719.2399999999999</c:v>
                </c:pt>
                <c:pt idx="3">
                  <c:v>729.21</c:v>
                </c:pt>
                <c:pt idx="4">
                  <c:v>779.14999999999986</c:v>
                </c:pt>
                <c:pt idx="5">
                  <c:v>639.66000000000008</c:v>
                </c:pt>
                <c:pt idx="6">
                  <c:v>525.25</c:v>
                </c:pt>
                <c:pt idx="7">
                  <c:v>526.25</c:v>
                </c:pt>
                <c:pt idx="8">
                  <c:v>872.34</c:v>
                </c:pt>
                <c:pt idx="9">
                  <c:v>743.33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2392-4EE3-8410-99CC3B77B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100"/>
        <c:axId val="336569488"/>
        <c:axId val="1881625472"/>
      </c:barChart>
      <c:lineChart>
        <c:grouping val="standard"/>
        <c:varyColors val="0"/>
        <c:ser>
          <c:idx val="3"/>
          <c:order val="3"/>
          <c:tx>
            <c:v>Total des achats</c:v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Feuil11!$L$6:$L$15</c:f>
              <c:numCache>
                <c:formatCode>#\ ##0.00\ "€"</c:formatCode>
                <c:ptCount val="10"/>
                <c:pt idx="0">
                  <c:v>1510.3300000000002</c:v>
                </c:pt>
                <c:pt idx="1">
                  <c:v>1397.15</c:v>
                </c:pt>
                <c:pt idx="2">
                  <c:v>1338.75</c:v>
                </c:pt>
                <c:pt idx="3">
                  <c:v>1234.8499999999999</c:v>
                </c:pt>
                <c:pt idx="4">
                  <c:v>1147.9499999999998</c:v>
                </c:pt>
                <c:pt idx="5">
                  <c:v>1122</c:v>
                </c:pt>
                <c:pt idx="6">
                  <c:v>1115.21</c:v>
                </c:pt>
                <c:pt idx="7">
                  <c:v>1095.01</c:v>
                </c:pt>
                <c:pt idx="8">
                  <c:v>1063</c:v>
                </c:pt>
                <c:pt idx="9">
                  <c:v>1034.7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92-4EE3-8410-99CC3B77B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569488"/>
        <c:axId val="1881625472"/>
      </c:lineChart>
      <c:valAx>
        <c:axId val="188162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6569488"/>
        <c:crosses val="autoZero"/>
        <c:crossBetween val="between"/>
      </c:valAx>
      <c:dateAx>
        <c:axId val="336569488"/>
        <c:scaling>
          <c:orientation val="minMax"/>
        </c:scaling>
        <c:delete val="1"/>
        <c:axPos val="b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Valeur d'achats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\ ##0.00\ &quot;€&quot;" sourceLinked="1"/>
        <c:majorTickMark val="out"/>
        <c:minorTickMark val="none"/>
        <c:tickLblPos val="nextTo"/>
        <c:crossAx val="1881625472"/>
        <c:crosses val="autoZero"/>
        <c:auto val="0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Top 10 des clients</a:t>
            </a:r>
            <a:r>
              <a:rPr lang="fr-FR" b="1" baseline="0"/>
              <a:t> de la catégorie</a:t>
            </a:r>
            <a:r>
              <a:rPr lang="fr-FR" b="1"/>
              <a:t> nouriture</a:t>
            </a:r>
          </a:p>
        </c:rich>
      </c:tx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Draft!$Q$3:$Q$12</c:f>
              <c:numCache>
                <c:formatCode>General</c:formatCode>
                <c:ptCount val="10"/>
                <c:pt idx="0">
                  <c:v>25</c:v>
                </c:pt>
                <c:pt idx="1">
                  <c:v>24</c:v>
                </c:pt>
                <c:pt idx="2">
                  <c:v>32</c:v>
                </c:pt>
                <c:pt idx="3">
                  <c:v>36</c:v>
                </c:pt>
                <c:pt idx="4">
                  <c:v>35</c:v>
                </c:pt>
                <c:pt idx="5">
                  <c:v>29</c:v>
                </c:pt>
                <c:pt idx="6">
                  <c:v>38</c:v>
                </c:pt>
                <c:pt idx="7">
                  <c:v>30</c:v>
                </c:pt>
                <c:pt idx="8">
                  <c:v>51</c:v>
                </c:pt>
                <c:pt idx="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6-4726-AF9C-5B7B67E17F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24177664"/>
        <c:axId val="2192808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1">
                      <a:shade val="7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Draft!$R$3:$R$12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450</c:v>
                      </c:pt>
                      <c:pt idx="1">
                        <c:v>336</c:v>
                      </c:pt>
                      <c:pt idx="2">
                        <c:v>352</c:v>
                      </c:pt>
                      <c:pt idx="3">
                        <c:v>396</c:v>
                      </c:pt>
                      <c:pt idx="4">
                        <c:v>315</c:v>
                      </c:pt>
                      <c:pt idx="5">
                        <c:v>319</c:v>
                      </c:pt>
                      <c:pt idx="6">
                        <c:v>342</c:v>
                      </c:pt>
                      <c:pt idx="7">
                        <c:v>300</c:v>
                      </c:pt>
                      <c:pt idx="8">
                        <c:v>306</c:v>
                      </c:pt>
                      <c:pt idx="9">
                        <c:v>336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BC6-4726-AF9C-5B7B67E17F9C}"/>
                  </c:ext>
                </c:extLst>
              </c15:ser>
            </c15:filteredBarSeries>
          </c:ext>
        </c:extLst>
      </c:barChart>
      <c:catAx>
        <c:axId val="92417766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9280848"/>
        <c:crosses val="autoZero"/>
        <c:auto val="1"/>
        <c:lblAlgn val="ctr"/>
        <c:lblOffset val="100"/>
        <c:noMultiLvlLbl val="0"/>
      </c:catAx>
      <c:valAx>
        <c:axId val="21928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Valeur</a:t>
                </a:r>
                <a:r>
                  <a:rPr lang="fr-FR" baseline="0"/>
                  <a:t> d'achats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417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41178915135607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Draft!$V$3:$V$12</c:f>
              <c:numCache>
                <c:formatCode>General</c:formatCode>
                <c:ptCount val="10"/>
                <c:pt idx="0">
                  <c:v>38</c:v>
                </c:pt>
                <c:pt idx="1">
                  <c:v>31</c:v>
                </c:pt>
                <c:pt idx="2">
                  <c:v>36</c:v>
                </c:pt>
                <c:pt idx="3">
                  <c:v>34</c:v>
                </c:pt>
                <c:pt idx="4">
                  <c:v>26</c:v>
                </c:pt>
                <c:pt idx="5">
                  <c:v>28</c:v>
                </c:pt>
                <c:pt idx="6">
                  <c:v>35</c:v>
                </c:pt>
                <c:pt idx="7">
                  <c:v>24</c:v>
                </c:pt>
                <c:pt idx="8">
                  <c:v>30</c:v>
                </c:pt>
                <c:pt idx="9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A-4D9B-B2A6-F57552B9BC0A}"/>
            </c:ext>
          </c:extLst>
        </c:ser>
        <c:ser>
          <c:idx val="2"/>
          <c:order val="2"/>
          <c:spPr>
            <a:solidFill>
              <a:schemeClr val="accent2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Draft!$X$3:$X$12</c:f>
              <c:numCache>
                <c:formatCode>#\ ##0.00\ "€"</c:formatCode>
                <c:ptCount val="10"/>
                <c:pt idx="0">
                  <c:v>631.71</c:v>
                </c:pt>
                <c:pt idx="1">
                  <c:v>619.51</c:v>
                </c:pt>
                <c:pt idx="2">
                  <c:v>589.95999999999992</c:v>
                </c:pt>
                <c:pt idx="3">
                  <c:v>568.76</c:v>
                </c:pt>
                <c:pt idx="4">
                  <c:v>544.32000000000005</c:v>
                </c:pt>
                <c:pt idx="5">
                  <c:v>505.64</c:v>
                </c:pt>
                <c:pt idx="6">
                  <c:v>482.34000000000003</c:v>
                </c:pt>
                <c:pt idx="7">
                  <c:v>481.39</c:v>
                </c:pt>
                <c:pt idx="8">
                  <c:v>463.87</c:v>
                </c:pt>
                <c:pt idx="9">
                  <c:v>284.72000000000003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8A-4D9B-B2A6-F57552B9BC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74176288"/>
        <c:axId val="53430750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Draft!$W$3:$W$12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380</c:v>
                      </c:pt>
                      <c:pt idx="1">
                        <c:v>341</c:v>
                      </c:pt>
                      <c:pt idx="2">
                        <c:v>288</c:v>
                      </c:pt>
                      <c:pt idx="3">
                        <c:v>272</c:v>
                      </c:pt>
                      <c:pt idx="4">
                        <c:v>260</c:v>
                      </c:pt>
                      <c:pt idx="5">
                        <c:v>252</c:v>
                      </c:pt>
                      <c:pt idx="6">
                        <c:v>245</c:v>
                      </c:pt>
                      <c:pt idx="7">
                        <c:v>240</c:v>
                      </c:pt>
                      <c:pt idx="8">
                        <c:v>240</c:v>
                      </c:pt>
                      <c:pt idx="9">
                        <c:v>235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F8A-4D9B-B2A6-F57552B9BC0A}"/>
                  </c:ext>
                </c:extLst>
              </c15:ser>
            </c15:filteredBarSeries>
          </c:ext>
        </c:extLst>
      </c:barChart>
      <c:catAx>
        <c:axId val="5741762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4307504"/>
        <c:crosses val="autoZero"/>
        <c:auto val="1"/>
        <c:lblAlgn val="ctr"/>
        <c:lblOffset val="100"/>
        <c:noMultiLvlLbl val="0"/>
      </c:catAx>
      <c:valAx>
        <c:axId val="5343075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Valeur</a:t>
                </a:r>
                <a:r>
                  <a:rPr lang="fr-FR" baseline="0"/>
                  <a:t> d'achats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417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FCB3BCDF-35CC-4D74-BE4E-AD745E5BB5C7}" formatIdx="0">
          <cx:tx>
            <cx:txData>
              <cx:f>_xlchart.v1.1</cx:f>
              <cx:v>CA %</cx:v>
            </cx:txData>
          </cx:tx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360D052-A129-4232-918E-EF43C332A485}" formatIdx="1">
          <cx:axisId val="2"/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20</xdr:row>
      <xdr:rowOff>38101</xdr:rowOff>
    </xdr:from>
    <xdr:ext cx="10238317" cy="4381500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723900</xdr:colOff>
      <xdr:row>130</xdr:row>
      <xdr:rowOff>0</xdr:rowOff>
    </xdr:from>
    <xdr:ext cx="3562350" cy="695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twoCellAnchor>
    <xdr:from>
      <xdr:col>0</xdr:col>
      <xdr:colOff>50800</xdr:colOff>
      <xdr:row>95</xdr:row>
      <xdr:rowOff>33868</xdr:rowOff>
    </xdr:from>
    <xdr:to>
      <xdr:col>8</xdr:col>
      <xdr:colOff>1066800</xdr:colOff>
      <xdr:row>117</xdr:row>
      <xdr:rowOff>135466</xdr:rowOff>
    </xdr:to>
    <xdr:graphicFrame macro="">
      <xdr:nvGraphicFramePr>
        <xdr:cNvPr id="2" name="Graphique 3">
          <a:extLst>
            <a:ext uri="{FF2B5EF4-FFF2-40B4-BE49-F238E27FC236}">
              <a16:creationId xmlns:a16="http://schemas.microsoft.com/office/drawing/2014/main" id="{F2F364AA-15BB-85A8-7E2C-4B5C0242D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55880</xdr:colOff>
      <xdr:row>668</xdr:row>
      <xdr:rowOff>32597</xdr:rowOff>
    </xdr:from>
    <xdr:to>
      <xdr:col>7</xdr:col>
      <xdr:colOff>55880</xdr:colOff>
      <xdr:row>682</xdr:row>
      <xdr:rowOff>49530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1">
              <a:extLst>
                <a:ext uri="{FF2B5EF4-FFF2-40B4-BE49-F238E27FC236}">
                  <a16:creationId xmlns:a16="http://schemas.microsoft.com/office/drawing/2014/main" id="{71AAF577-D859-A74D-76FD-6E2FAB314C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5820" y="128345777"/>
              <a:ext cx="5250180" cy="2790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119</xdr:row>
      <xdr:rowOff>414867</xdr:rowOff>
    </xdr:from>
    <xdr:to>
      <xdr:col>8</xdr:col>
      <xdr:colOff>1126067</xdr:colOff>
      <xdr:row>142</xdr:row>
      <xdr:rowOff>177799</xdr:rowOff>
    </xdr:to>
    <xdr:graphicFrame macro="">
      <xdr:nvGraphicFramePr>
        <xdr:cNvPr id="8" name="Graphique 1">
          <a:extLst>
            <a:ext uri="{FF2B5EF4-FFF2-40B4-BE49-F238E27FC236}">
              <a16:creationId xmlns:a16="http://schemas.microsoft.com/office/drawing/2014/main" id="{FC7BBB07-69C8-6805-9CFD-46B20F7EC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8</xdr:col>
      <xdr:colOff>1126066</xdr:colOff>
      <xdr:row>67</xdr:row>
      <xdr:rowOff>160867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3EE0C49-3BC8-FDDB-AFF7-4D295A79A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69</xdr:row>
      <xdr:rowOff>406401</xdr:rowOff>
    </xdr:from>
    <xdr:to>
      <xdr:col>8</xdr:col>
      <xdr:colOff>1126066</xdr:colOff>
      <xdr:row>92</xdr:row>
      <xdr:rowOff>177800</xdr:rowOff>
    </xdr:to>
    <xdr:graphicFrame macro="">
      <xdr:nvGraphicFramePr>
        <xdr:cNvPr id="15" name="Graphique 1">
          <a:extLst>
            <a:ext uri="{FF2B5EF4-FFF2-40B4-BE49-F238E27FC236}">
              <a16:creationId xmlns:a16="http://schemas.microsoft.com/office/drawing/2014/main" id="{790FC5C4-16A4-3757-16C9-B2730AE39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18626</xdr:colOff>
      <xdr:row>24</xdr:row>
      <xdr:rowOff>89746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A53E740-906B-4A7B-B060-389D9F4DD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12</xdr:row>
      <xdr:rowOff>167640</xdr:rowOff>
    </xdr:from>
    <xdr:to>
      <xdr:col>17</xdr:col>
      <xdr:colOff>982980</xdr:colOff>
      <xdr:row>27</xdr:row>
      <xdr:rowOff>167640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C6245FBE-1B39-0937-F2F9-F4CAC2C98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243840</xdr:colOff>
      <xdr:row>13</xdr:row>
      <xdr:rowOff>148590</xdr:rowOff>
    </xdr:from>
    <xdr:to>
      <xdr:col>23</xdr:col>
      <xdr:colOff>579120</xdr:colOff>
      <xdr:row>28</xdr:row>
      <xdr:rowOff>148590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1CCD85BC-BD77-EBDE-7E15-AC31D7821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eur" refreshedDate="45314.727060879632" createdVersion="8" refreshedVersion="8" minRefreshableVersion="3" recordCount="660" xr:uid="{23C65201-E73F-4F44-BA61-316FFE1EC030}">
  <cacheSource type="worksheet">
    <worksheetSource name="Table_1"/>
  </cacheSource>
  <cacheFields count="5">
    <cacheField name="ID client" numFmtId="0">
      <sharedItems containsSemiMixedTypes="0" containsString="0" containsNumber="1" containsInteger="1" minValue="1" maxValue="74" count="66">
        <n v="26"/>
        <n v="15"/>
        <n v="3"/>
        <n v="51"/>
        <n v="32"/>
        <n v="16"/>
        <n v="33"/>
        <n v="25"/>
        <n v="27"/>
        <n v="35"/>
        <n v="31"/>
        <n v="39"/>
        <n v="20"/>
        <n v="28"/>
        <n v="38"/>
        <n v="4"/>
        <n v="18"/>
        <n v="41"/>
        <n v="53"/>
        <n v="2"/>
        <n v="22"/>
        <n v="36"/>
        <n v="24"/>
        <n v="44"/>
        <n v="40"/>
        <n v="46"/>
        <n v="50"/>
        <n v="23"/>
        <n v="34"/>
        <n v="30"/>
        <n v="37"/>
        <n v="8"/>
        <n v="19"/>
        <n v="64"/>
        <n v="9"/>
        <n v="17"/>
        <n v="10"/>
        <n v="5"/>
        <n v="42"/>
        <n v="21"/>
        <n v="14"/>
        <n v="57"/>
        <n v="47"/>
        <n v="12"/>
        <n v="13"/>
        <n v="7"/>
        <n v="29"/>
        <n v="45"/>
        <n v="48"/>
        <n v="6"/>
        <n v="62"/>
        <n v="11"/>
        <n v="55"/>
        <n v="49"/>
        <n v="67"/>
        <n v="1"/>
        <n v="54"/>
        <n v="56"/>
        <n v="43"/>
        <n v="74"/>
        <n v="52"/>
        <n v="58"/>
        <n v="60"/>
        <n v="59"/>
        <n v="63"/>
        <n v="68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132.72999999999999"/>
        <n v="120.86"/>
        <n v="118.54"/>
        <n v="118.49"/>
        <n v="115.37"/>
        <n v="115.29"/>
        <n v="114.96"/>
        <n v="110.81"/>
        <n v="110.48"/>
        <n v="109.79"/>
        <n v="109.42"/>
        <n v="108.17"/>
        <n v="105.61"/>
        <n v="105.6"/>
        <n v="104.75"/>
        <n v="103.88"/>
        <n v="103.65"/>
        <n v="103.09"/>
        <n v="101.92"/>
        <n v="100.82"/>
        <n v="100.78"/>
        <n v="100.72"/>
        <n v="100.55"/>
        <n v="100.07"/>
        <n v="99.96"/>
        <n v="99.73"/>
        <n v="99.72"/>
        <n v="99.6"/>
        <n v="98.34"/>
        <n v="96.74"/>
        <n v="96.31"/>
        <n v="96.03"/>
        <n v="95.73"/>
        <n v="95.39"/>
        <n v="95.27"/>
        <n v="95.17"/>
        <n v="94.71"/>
        <n v="94.26"/>
        <n v="94.07"/>
        <n v="93.63"/>
        <n v="93.01"/>
        <n v="92.89"/>
        <n v="92.88"/>
        <n v="92.83"/>
        <n v="92.48"/>
        <n v="92.43"/>
        <n v="92.22"/>
        <n v="92.08"/>
        <n v="91.79"/>
        <n v="91.7"/>
        <n v="91.53"/>
        <n v="91.39"/>
        <n v="91.16"/>
        <n v="90.99"/>
        <n v="90.89"/>
        <n v="90.66"/>
        <n v="90.42"/>
        <n v="89.98"/>
        <n v="89.68"/>
        <n v="89.49"/>
        <n v="89.46"/>
        <n v="89.32"/>
        <n v="89.26"/>
        <n v="89.18"/>
        <n v="89.08"/>
        <n v="89.07"/>
        <n v="88.57"/>
        <n v="88.53"/>
        <n v="88.43"/>
        <n v="88.33"/>
        <n v="88.16"/>
        <n v="87.75"/>
        <n v="87.63"/>
        <n v="87.42"/>
        <n v="87.4"/>
        <n v="87.01"/>
        <n v="86.68"/>
        <n v="86.46"/>
        <n v="86.36"/>
        <n v="86.23"/>
        <n v="85.79"/>
        <n v="85.37"/>
        <n v="85.29"/>
        <n v="85.03"/>
        <n v="84.49"/>
        <n v="84.48"/>
        <n v="84.28"/>
        <n v="84.26"/>
        <n v="84.13"/>
        <n v="83.86"/>
        <n v="83.76"/>
        <n v="83.73"/>
        <n v="83.57"/>
        <n v="83.38"/>
        <n v="83.21"/>
        <n v="83.15"/>
        <n v="83.08"/>
        <n v="82.68"/>
        <n v="82.31"/>
        <n v="82.07"/>
        <n v="82.05"/>
        <n v="82.02"/>
        <n v="81.88"/>
        <n v="81.680000000000007"/>
        <n v="81.64"/>
        <n v="81.569999999999993"/>
        <n v="81.53"/>
        <n v="81.08"/>
        <n v="80.989999999999995"/>
        <n v="80.47"/>
        <n v="80.430000000000007"/>
        <n v="80.31"/>
        <n v="80.16"/>
        <n v="80.13"/>
        <n v="80.03"/>
        <n v="80"/>
        <n v="79.989999999999995"/>
        <n v="79.900000000000006"/>
        <n v="79.790000000000006"/>
        <n v="79.67"/>
        <n v="79.55"/>
        <n v="79.36"/>
        <n v="79.349999999999994"/>
        <n v="79.290000000000006"/>
        <n v="79.25"/>
        <n v="79.23"/>
        <n v="78.83"/>
        <n v="78.58"/>
        <n v="78.39"/>
        <n v="78.3"/>
        <n v="78.27"/>
        <n v="78.2"/>
        <n v="77.989999999999995"/>
        <n v="77.92"/>
        <n v="77.84"/>
        <n v="77.760000000000005"/>
        <n v="77.45"/>
        <n v="77.400000000000006"/>
        <n v="77.39"/>
        <n v="77.38"/>
        <n v="77.36"/>
        <n v="77.319999999999993"/>
        <n v="77.290000000000006"/>
        <n v="77.16"/>
        <n v="77.150000000000006"/>
        <n v="77.13"/>
        <n v="77.069999999999993"/>
        <n v="76.959999999999994"/>
        <n v="76.7"/>
        <n v="76.55"/>
        <n v="76.47"/>
        <n v="76.39"/>
        <n v="76.37"/>
        <n v="76.27"/>
        <n v="76.010000000000005"/>
        <n v="75.75"/>
        <n v="75.739999999999995"/>
        <n v="75.459999999999994"/>
        <n v="75.430000000000007"/>
        <n v="75.08"/>
        <n v="75.03"/>
        <n v="74.97"/>
        <n v="74.760000000000005"/>
        <n v="74.739999999999995"/>
        <n v="74.44"/>
        <n v="74.41"/>
        <n v="74.239999999999995"/>
        <n v="74.14"/>
        <n v="74.09"/>
        <n v="73.91"/>
        <n v="73.87"/>
        <n v="73.78"/>
        <n v="73.75"/>
        <n v="73.69"/>
        <n v="73.45"/>
        <n v="73.260000000000005"/>
        <n v="73.25"/>
        <n v="73.02"/>
        <n v="72.92"/>
        <n v="72.78"/>
        <n v="72.72"/>
        <n v="72.56"/>
        <n v="72.540000000000006"/>
        <n v="72.510000000000005"/>
        <n v="72.44"/>
        <n v="72.349999999999994"/>
        <n v="72.25"/>
        <n v="71.98"/>
        <n v="71.62"/>
        <n v="71.599999999999994"/>
        <n v="71.47"/>
        <n v="71.33"/>
        <n v="71.150000000000006"/>
        <n v="71.069999999999993"/>
        <n v="71.040000000000006"/>
        <n v="70.88"/>
        <n v="70.739999999999995"/>
        <n v="70.61"/>
        <n v="70.489999999999995"/>
        <n v="70.430000000000007"/>
        <n v="70.38"/>
        <n v="70.36"/>
        <n v="70.22"/>
        <n v="70.06"/>
        <n v="70.040000000000006"/>
        <n v="70"/>
        <n v="69.86"/>
        <n v="69.61"/>
        <n v="69.099999999999994"/>
        <n v="69.069999999999993"/>
        <n v="69.06"/>
        <n v="69.040000000000006"/>
        <n v="68.959999999999994"/>
        <n v="68.91"/>
        <n v="68.760000000000005"/>
        <n v="68.48"/>
        <n v="68.38"/>
        <n v="68.260000000000005"/>
        <n v="68.12"/>
        <n v="68.069999999999993"/>
        <n v="68.02"/>
        <n v="67.95"/>
        <n v="67.87"/>
        <n v="67.739999999999995"/>
        <n v="67.66"/>
        <n v="67.63"/>
        <n v="67.44"/>
        <n v="67.36"/>
        <n v="67.31"/>
        <n v="67.260000000000005"/>
        <n v="67.25"/>
        <n v="67.23"/>
        <n v="67.2"/>
        <n v="67.150000000000006"/>
        <n v="67.12"/>
        <n v="67.069999999999993"/>
        <n v="67.02"/>
        <n v="66.959999999999994"/>
        <n v="66.86"/>
        <n v="66.72"/>
        <n v="66.709999999999994"/>
        <n v="66.650000000000006"/>
        <n v="66.56"/>
        <n v="66.430000000000007"/>
        <n v="66.28"/>
        <n v="66.22"/>
        <n v="66.209999999999994"/>
        <n v="66.16"/>
        <n v="66.13"/>
        <n v="65.95"/>
        <n v="65.87"/>
        <n v="65.84"/>
        <n v="65.400000000000006"/>
        <n v="65.36"/>
        <n v="65.28"/>
        <n v="65.260000000000005"/>
        <n v="65.209999999999994"/>
        <n v="65.19"/>
        <n v="65.16"/>
        <n v="65.02"/>
        <n v="64.83"/>
        <n v="64.69"/>
        <n v="64.67"/>
        <n v="64.61"/>
        <n v="64.599999999999994"/>
        <n v="64.55"/>
        <n v="64.5"/>
        <n v="64.36"/>
        <n v="64.02"/>
        <n v="63.91"/>
        <n v="63.74"/>
        <n v="63.57"/>
        <n v="63.52"/>
        <n v="63.51"/>
        <n v="63.5"/>
        <n v="63.38"/>
        <n v="63.35"/>
        <n v="63.34"/>
        <n v="63.32"/>
        <n v="63.19"/>
        <n v="63.1"/>
        <n v="63.07"/>
        <n v="63"/>
        <n v="62.98"/>
        <n v="62.96"/>
        <n v="62.93"/>
        <n v="62.92"/>
        <n v="62.85"/>
        <n v="62.71"/>
        <n v="62.64"/>
        <n v="62.56"/>
        <n v="62.53"/>
        <n v="62.51"/>
        <n v="62.46"/>
        <n v="62.31"/>
        <n v="62.13"/>
        <n v="61.92"/>
        <n v="61.9"/>
        <n v="61.87"/>
        <n v="61.81"/>
        <n v="61.63"/>
        <n v="61.5"/>
        <n v="61.28"/>
        <n v="61.26"/>
        <n v="61.2"/>
        <n v="61.19"/>
        <n v="61.06"/>
        <n v="61.02"/>
        <n v="60.58"/>
        <n v="60.5"/>
        <n v="60.49"/>
        <n v="60.12"/>
        <n v="59.93"/>
        <n v="59.74"/>
        <n v="59.62"/>
        <n v="59.47"/>
        <n v="59.39"/>
        <n v="59.31"/>
        <n v="59.23"/>
        <n v="59.17"/>
        <n v="58.99"/>
        <n v="58.89"/>
        <n v="58.86"/>
        <n v="58.85"/>
        <n v="58.41"/>
        <n v="58.26"/>
        <n v="58.17"/>
        <n v="58.01"/>
        <n v="58"/>
        <n v="57.95"/>
        <n v="57.9"/>
        <n v="57.83"/>
        <n v="57.6"/>
        <n v="57.53"/>
        <n v="57.47"/>
        <n v="57.43"/>
        <n v="57.42"/>
        <n v="57.18"/>
        <n v="57.16"/>
        <n v="57.02"/>
        <n v="57.01"/>
        <n v="57"/>
        <n v="56.8"/>
        <n v="56.7"/>
        <n v="56.66"/>
        <n v="56.59"/>
        <n v="56.55"/>
        <n v="56.39"/>
        <n v="56.37"/>
        <n v="56.36"/>
        <n v="56.08"/>
        <n v="55.94"/>
        <n v="55.88"/>
        <n v="55.73"/>
        <n v="55.63"/>
        <n v="55.6"/>
        <n v="55.5"/>
        <n v="55.46"/>
        <n v="55.42"/>
        <n v="55.41"/>
        <n v="55.39"/>
        <n v="55.31"/>
        <n v="55.3"/>
        <n v="55.21"/>
        <n v="55.1"/>
        <n v="55.07"/>
        <n v="54.95"/>
        <n v="54.93"/>
        <n v="54.85"/>
        <n v="54.74"/>
        <n v="54.71"/>
        <n v="54.57"/>
        <n v="54.56"/>
        <n v="54.51"/>
        <n v="54.49"/>
        <n v="54.32"/>
        <n v="54.28"/>
        <n v="53.96"/>
        <n v="53.91"/>
        <n v="53.62"/>
        <n v="53.57"/>
        <n v="53.52"/>
        <n v="53.51"/>
        <n v="53.41"/>
        <n v="53.4"/>
        <n v="53.2"/>
        <n v="53.17"/>
        <n v="53"/>
        <n v="52.97"/>
        <n v="52.93"/>
        <n v="52.91"/>
        <n v="52.87"/>
        <n v="52.84"/>
        <n v="52.61"/>
        <n v="52.51"/>
        <n v="52.45"/>
        <n v="52.4"/>
        <n v="52.36"/>
        <n v="52.3"/>
        <n v="52.1"/>
        <n v="52.08"/>
        <n v="52.07"/>
        <n v="51.99"/>
        <n v="51.98"/>
        <n v="51.97"/>
        <n v="51.89"/>
        <n v="51.82"/>
        <n v="51.69"/>
        <n v="51.67"/>
        <n v="51.43"/>
        <n v="51.36"/>
        <n v="51.35"/>
        <n v="51.33"/>
        <n v="51.14"/>
        <n v="51.12"/>
        <n v="51"/>
        <n v="50.94"/>
        <n v="50.93"/>
        <n v="50.83"/>
        <n v="50.8"/>
        <n v="50.74"/>
        <n v="50.66"/>
        <n v="50.65"/>
        <n v="50.62"/>
        <n v="50.61"/>
        <n v="50.46"/>
        <n v="50.34"/>
        <n v="50.33"/>
        <n v="50.29"/>
        <n v="50.27"/>
        <n v="50.18"/>
        <n v="50.07"/>
        <n v="49.92"/>
        <n v="49.81"/>
        <n v="49.8"/>
        <n v="49.61"/>
        <n v="49.54"/>
        <n v="49.48"/>
        <n v="49.27"/>
        <n v="49.24"/>
        <n v="48.99"/>
        <n v="48.83"/>
        <n v="48.8"/>
        <n v="48.57"/>
        <n v="48.4"/>
        <n v="48.26"/>
        <n v="48.18"/>
        <n v="48.14"/>
        <n v="47.98"/>
        <n v="47.91"/>
        <n v="47.75"/>
        <n v="47.74"/>
        <n v="47.69"/>
        <n v="47.61"/>
        <n v="47.5"/>
        <n v="47.37"/>
        <n v="47.3"/>
        <n v="47.22"/>
        <n v="47.04"/>
        <n v="46.9"/>
        <n v="46.8"/>
        <n v="46.77"/>
        <n v="46.76"/>
        <n v="46.56"/>
        <n v="46.33"/>
        <n v="46.24"/>
        <n v="46.17"/>
        <n v="45.92"/>
        <n v="45.88"/>
        <n v="45.83"/>
        <n v="45.79"/>
        <n v="45.76"/>
        <n v="45.75"/>
        <n v="45.66"/>
        <n v="45.65"/>
        <n v="45.31"/>
        <n v="45.03"/>
        <n v="44.95"/>
        <n v="44.87"/>
        <n v="44.82"/>
        <n v="44.64"/>
        <n v="44.63"/>
        <n v="44.6"/>
        <n v="44.4"/>
        <n v="44.39"/>
        <n v="44.37"/>
        <n v="44.29"/>
        <n v="44.27"/>
        <n v="44.25"/>
        <n v="44.23"/>
        <n v="44.21"/>
        <n v="44.09"/>
        <n v="43.97"/>
        <n v="43.95"/>
        <n v="43.81"/>
        <n v="43.75"/>
        <n v="43.55"/>
        <n v="43.41"/>
        <n v="43.32"/>
        <n v="43.28"/>
        <n v="43.26"/>
        <n v="43.2"/>
        <n v="43.18"/>
        <n v="43.17"/>
        <n v="42.98"/>
        <n v="42.91"/>
        <n v="42.69"/>
        <n v="42.51"/>
        <n v="42.46"/>
        <n v="42.33"/>
        <n v="42.26"/>
        <n v="42.13"/>
        <n v="42.01"/>
        <n v="41.82"/>
        <n v="41.59"/>
        <n v="41.49"/>
        <n v="41.34"/>
        <n v="41.24"/>
        <n v="41.23"/>
        <n v="40.880000000000003"/>
        <n v="40.86"/>
        <n v="40.79"/>
        <n v="40.19"/>
        <n v="40.15"/>
        <n v="40.14"/>
        <n v="39.99"/>
        <n v="39.82"/>
        <n v="39.72"/>
        <n v="39.58"/>
        <n v="39.54"/>
        <n v="39.17"/>
        <n v="38.9"/>
        <n v="38.86"/>
        <n v="38.69"/>
        <n v="38.61"/>
        <n v="38.450000000000003"/>
        <n v="38.24"/>
        <n v="38.17"/>
        <n v="38.1"/>
        <n v="38.090000000000003"/>
        <n v="37.869999999999997"/>
        <n v="37.83"/>
        <n v="37.46"/>
        <n v="37.39"/>
        <n v="37.07"/>
        <n v="36.99"/>
        <n v="36.72"/>
        <n v="36.71"/>
        <n v="36.58"/>
        <n v="36.57"/>
        <n v="36.51"/>
        <n v="36.31"/>
        <n v="36.21"/>
        <n v="36.200000000000003"/>
        <n v="35.799999999999997"/>
        <n v="35.78"/>
        <n v="35.75"/>
        <n v="35.58"/>
        <n v="35.53"/>
        <n v="35.380000000000003"/>
        <n v="35.26"/>
        <n v="35.11"/>
        <n v="35.03"/>
        <n v="34.97"/>
        <n v="34.770000000000003"/>
        <n v="34.53"/>
        <n v="34.47"/>
        <n v="34.409999999999997"/>
        <n v="34.28"/>
        <n v="34.049999999999997"/>
        <n v="33.97"/>
        <n v="33.450000000000003"/>
        <n v="33.18"/>
        <n v="33.049999999999997"/>
        <n v="33.03"/>
        <n v="32.700000000000003"/>
        <n v="31.75"/>
        <n v="31.65"/>
        <n v="31.57"/>
        <n v="31.48"/>
        <n v="31.37"/>
        <n v="31.21"/>
        <n v="31.1"/>
        <n v="30.81"/>
        <n v="30.74"/>
        <n v="30.68"/>
        <n v="30.67"/>
        <n v="30.62"/>
        <n v="30.33"/>
        <n v="29.99"/>
        <n v="29.32"/>
        <n v="29.17"/>
        <n v="28.76"/>
        <n v="28.75"/>
        <n v="28.32"/>
        <n v="28.16"/>
        <n v="27.84"/>
        <n v="27.64"/>
        <n v="26.77"/>
        <n v="26.63"/>
        <n v="26.08"/>
        <n v="26.05"/>
        <n v="25.68"/>
        <n v="25.28"/>
        <n v="24.63"/>
        <n v="24.61"/>
        <n v="24.34"/>
        <n v="23.5"/>
        <n v="23.33"/>
        <n v="23.31"/>
        <n v="22.81"/>
        <n v="22.59"/>
        <n v="22.58"/>
        <n v="22.54"/>
        <n v="22.47"/>
        <n v="21.99"/>
        <n v="21.98"/>
        <n v="21.73"/>
        <n v="21.46"/>
        <n v="21.1"/>
        <n v="20.84"/>
        <n v="20.309999999999999"/>
        <n v="20.170000000000002"/>
        <n v="19.02"/>
        <n v="19.010000000000002"/>
        <n v="18.52"/>
        <n v="18.28"/>
        <n v="17.32"/>
        <n v="16.579999999999998"/>
        <n v="14"/>
        <n v="12.65"/>
        <n v="11.95"/>
        <n v="11.14"/>
        <n v="10.96"/>
        <n v="9.8000000000000007"/>
        <n v="9.23"/>
        <n v="8.69"/>
        <n v="8"/>
        <n v="6.97"/>
      </sharedItems>
    </cacheField>
    <cacheField name="Categorie" numFmtId="0">
      <sharedItems count="2">
        <s v="nourriture"/>
        <s v="bien de conso."/>
      </sharedItems>
    </cacheField>
    <cacheField name="CA %" numFmtId="10">
      <sharedItems containsSemiMixedTypes="0" containsString="0" containsNumber="1" minValue="1.7573177028706061E-4" maxValue="3.3464674132283436E-3" count="639">
        <n v="3.3464674132283436E-3"/>
        <n v="3.0471939392961471E-3"/>
        <n v="2.9887007245090625E-3"/>
        <n v="2.9874400948800305E-3"/>
        <n v="2.9087768060284337E-3"/>
        <n v="2.9067597986219829E-3"/>
        <n v="2.8984396430703713E-3"/>
        <n v="2.7938073838607155E-3"/>
        <n v="2.7854872283091044E-3"/>
        <n v="2.7680905394284628E-3"/>
        <n v="2.758761880173626E-3"/>
        <n v="2.7272461394478261E-3"/>
        <n v="2.6627019024413876E-3"/>
        <n v="2.6624497765155809E-3"/>
        <n v="2.6410190728220371E-3"/>
        <n v="2.6190841172768803E-3"/>
        <n v="2.6132852209833335E-3"/>
        <n v="2.5991661691381748E-3"/>
        <n v="2.5696674358188262E-3"/>
        <n v="2.5419335839801222E-3"/>
        <n v="2.5409250802768965E-3"/>
        <n v="2.5394123247220583E-3"/>
        <n v="2.5351261839833493E-3"/>
        <n v="2.5230241395446419E-3"/>
        <n v="2.5202507543607717E-3"/>
        <n v="2.5144518580672245E-3"/>
        <n v="2.5141997321414182E-3"/>
        <n v="2.5111742210317412E-3"/>
        <n v="2.479406354380135E-3"/>
        <n v="2.439066206251111E-3"/>
        <n v="2.4282247914414359E-3"/>
        <n v="2.4211652655188568E-3"/>
        <n v="2.413601487744665E-3"/>
        <n v="2.4050292062672471E-3"/>
        <n v="2.4020036951575702E-3"/>
        <n v="2.3994824358995063E-3"/>
        <n v="2.3878846433124119E-3"/>
        <n v="2.3765389766511242E-3"/>
        <n v="2.3717485840608022E-3"/>
        <n v="2.3606550433253205E-3"/>
        <n v="2.3450232359253243E-3"/>
        <n v="2.3419977248156473E-3"/>
        <n v="2.3417455988898406E-3"/>
        <n v="2.3404849692608086E-3"/>
        <n v="2.3316605618575849E-3"/>
        <n v="2.330399932228553E-3"/>
        <n v="2.3251052877866184E-3"/>
        <n v="2.3215755248253288E-3"/>
        <n v="2.3142638729769433E-3"/>
        <n v="2.3119947396446857E-3"/>
        <n v="2.3077085989059768E-3"/>
        <n v="2.3041788359446872E-3"/>
        <n v="2.29837993965114E-3"/>
        <n v="2.2940937989124311E-3"/>
        <n v="2.2915725396543672E-3"/>
        <n v="2.28577364336082E-3"/>
        <n v="2.2797226211414665E-3"/>
        <n v="2.2686290804059851E-3"/>
        <n v="2.2610653026317929E-3"/>
        <n v="2.256274910041471E-3"/>
        <n v="2.255518532264052E-3"/>
        <n v="2.2519887693027625E-3"/>
        <n v="2.2504760137479242E-3"/>
        <n v="2.2484590063414729E-3"/>
        <n v="2.245937747083409E-3"/>
        <n v="2.2456856211576022E-3"/>
        <n v="2.2330793248672822E-3"/>
        <n v="2.232070821164057E-3"/>
        <n v="2.229549561905993E-3"/>
        <n v="2.2270283026479287E-3"/>
        <n v="2.2227421619092202E-3"/>
        <n v="2.2124049989511578E-3"/>
        <n v="2.2093794878414808E-3"/>
        <n v="2.2040848433995466E-3"/>
        <n v="2.203580591547934E-3"/>
        <n v="2.1937476804414842E-3"/>
        <n v="2.1854275248898731E-3"/>
        <n v="2.1798807545221322E-3"/>
        <n v="2.1773594952640683E-3"/>
        <n v="2.174081858228585E-3"/>
        <n v="2.1629883174931037E-3"/>
        <n v="2.1523990286092345E-3"/>
        <n v="2.1503820212027836E-3"/>
        <n v="2.1438267471318171E-3"/>
        <n v="2.1302119471382714E-3"/>
        <n v="2.1299598212124651E-3"/>
        <n v="2.1249173026963372E-3"/>
        <n v="2.1244130508447242E-3"/>
        <n v="2.1211354138092409E-3"/>
        <n v="2.1143280138124681E-3"/>
        <n v="2.1118067545544041E-3"/>
        <n v="2.1110503767769852E-3"/>
        <n v="2.1070163619640826E-3"/>
        <n v="2.102225969373761E-3"/>
        <n v="2.0979398286350521E-3"/>
        <n v="2.0964270730802139E-3"/>
        <n v="2.0946621915995688E-3"/>
        <n v="2.0845771545673132E-3"/>
        <n v="2.0752484953124764E-3"/>
        <n v="2.0691974730931225E-3"/>
        <n v="2.0686932212415098E-3"/>
        <n v="2.0679368434640905E-3"/>
        <n v="2.0644070805028009E-3"/>
        <n v="2.0593645619866731E-3"/>
        <n v="2.0583560582834474E-3"/>
        <n v="2.0565911768028024E-3"/>
        <n v="2.0555826730995772E-3"/>
        <n v="2.0442370064382891E-3"/>
        <n v="2.0419678731060315E-3"/>
        <n v="2.0288573249640988E-3"/>
        <n v="2.0278488212608732E-3"/>
        <n v="2.0248233101511962E-3"/>
        <n v="2.0210414212641003E-3"/>
        <n v="2.020285043486681E-3"/>
        <n v="2.0177637842286171E-3"/>
        <n v="2.0170074064511977E-3"/>
        <n v="2.0167552805253914E-3"/>
        <n v="2.0144861471931342E-3"/>
        <n v="2.0117127620092635E-3"/>
        <n v="2.0086872508995866E-3"/>
        <n v="2.00566173978991E-3"/>
        <n v="2.0008713471995885E-3"/>
        <n v="2.0006192212737818E-3"/>
        <n v="1.9991064657189435E-3"/>
        <n v="1.9980979620157178E-3"/>
        <n v="1.9975937101641052E-3"/>
        <n v="1.9875086731318491E-3"/>
        <n v="1.9812055249866893E-3"/>
        <n v="1.9764151323963678E-3"/>
        <n v="1.9741459990641097E-3"/>
        <n v="1.9733896212866908E-3"/>
        <n v="1.9716247398060462E-3"/>
        <n v="1.9663300953641116E-3"/>
        <n v="1.9645652138834666E-3"/>
        <n v="1.9625482064770158E-3"/>
        <n v="1.9605311990705645E-3"/>
        <n v="1.9527152953705659E-3"/>
        <n v="1.9514546657415342E-3"/>
        <n v="1.9512025398157277E-3"/>
        <n v="1.9509504138899212E-3"/>
        <n v="1.9504461620383083E-3"/>
        <n v="1.9494376583350827E-3"/>
        <n v="1.9486812805576638E-3"/>
        <n v="1.9454036435221803E-3"/>
        <n v="1.9451515175963742E-3"/>
        <n v="1.9446472657447611E-3"/>
        <n v="1.9431345101899227E-3"/>
        <n v="1.9403611250060522E-3"/>
        <n v="1.9338058509350861E-3"/>
        <n v="1.93002396204799E-3"/>
        <n v="1.9280069546415387E-3"/>
        <n v="1.9259899472350876E-3"/>
        <n v="1.925485695383475E-3"/>
        <n v="1.9229644361254106E-3"/>
        <n v="1.9164091620544445E-3"/>
        <n v="1.909853887983478E-3"/>
        <n v="1.9096017620576714E-3"/>
        <n v="1.9025422361350923E-3"/>
        <n v="1.9017858583576734E-3"/>
        <n v="1.8929614509544492E-3"/>
        <n v="1.8917008213254172E-3"/>
        <n v="1.8901880657705788E-3"/>
        <n v="1.8848934213286446E-3"/>
        <n v="1.8843891694770316E-3"/>
        <n v="1.8768253917028396E-3"/>
        <n v="1.8760690139254205E-3"/>
        <n v="1.8717828731867115E-3"/>
        <n v="1.8692616139286476E-3"/>
        <n v="1.8680009842996159E-3"/>
        <n v="1.8634627176351004E-3"/>
        <n v="1.862454213931875E-3"/>
        <n v="1.8601850805996174E-3"/>
        <n v="1.859428702822198E-3"/>
        <n v="1.8579159472673595E-3"/>
        <n v="1.8518649250480062E-3"/>
        <n v="1.8470745324576847E-3"/>
        <n v="1.8468224065318782E-3"/>
        <n v="1.8410235102383308E-3"/>
        <n v="1.8385022509802668E-3"/>
        <n v="1.8349724880189773E-3"/>
        <n v="1.8334597324641388E-3"/>
        <n v="1.8294257176512366E-3"/>
        <n v="1.8289214657996238E-3"/>
        <n v="1.8281650880222046E-3"/>
        <n v="1.8264002065415596E-3"/>
        <n v="1.824131073209302E-3"/>
        <n v="1.8216098139512381E-3"/>
        <n v="1.8148024139544654E-3"/>
        <n v="1.805725880625435E-3"/>
        <n v="1.8052216287738219E-3"/>
        <n v="1.8019439917383389E-3"/>
        <n v="1.7984142287770493E-3"/>
        <n v="1.7938759621125343E-3"/>
        <n v="1.7918589547060828E-3"/>
        <n v="1.7911025769286638E-3"/>
        <n v="1.7870685621157612E-3"/>
        <n v="1.7835387991544716E-3"/>
        <n v="1.7802611621189886E-3"/>
        <n v="1.7772356510093116E-3"/>
        <n v="1.7757228954544736E-3"/>
        <n v="1.7744622658254412E-3"/>
        <n v="1.7739580139738286E-3"/>
        <n v="1.770428251012539E-3"/>
        <n v="1.7663942361996366E-3"/>
        <n v="1.765889984348024E-3"/>
        <n v="1.7648814806447981E-3"/>
        <n v="1.7613517176835085E-3"/>
        <n v="1.7550485695383485E-3"/>
        <n v="1.7421901473222221E-3"/>
        <n v="1.7414337695448028E-3"/>
        <n v="1.7411816436189967E-3"/>
        <n v="1.7406773917673839E-3"/>
        <n v="1.7386603843609323E-3"/>
        <n v="1.7373997547319006E-3"/>
        <n v="1.7336178658448047E-3"/>
        <n v="1.7265583399222256E-3"/>
        <n v="1.7240370806641612E-3"/>
        <n v="1.7210115695544847E-3"/>
        <n v="1.7174818065931951E-3"/>
        <n v="1.7162211769641629E-3"/>
        <n v="1.714960547335131E-3"/>
        <n v="1.7131956658544864E-3"/>
        <n v="1.7111786584480351E-3"/>
        <n v="1.7079010214125518E-3"/>
        <n v="1.7058840140061005E-3"/>
        <n v="1.7051276362286814E-3"/>
        <n v="1.7003372436383598E-3"/>
        <n v="1.6983202362319087E-3"/>
        <n v="1.6970596066028768E-3"/>
        <n v="1.6957989769738448E-3"/>
        <n v="1.6955468510480383E-3"/>
        <n v="1.6950425991964255E-3"/>
        <n v="1.6942862214190063E-3"/>
        <n v="1.6930255917899744E-3"/>
        <n v="1.6922692140125552E-3"/>
        <n v="1.6910085843835228E-3"/>
        <n v="1.6897479547544909E-3"/>
        <n v="1.6882351991996524E-3"/>
        <n v="1.6857139399415887E-3"/>
        <n v="1.6821841769802991E-3"/>
        <n v="1.6819320510544926E-3"/>
        <n v="1.6804192954996543E-3"/>
        <n v="1.6781501621673967E-3"/>
        <n v="1.6748725251319136E-3"/>
        <n v="1.6710906362448175E-3"/>
        <n v="1.6695778806899791E-3"/>
        <n v="1.6693257547641725E-3"/>
        <n v="1.6680651251351406E-3"/>
        <n v="1.6673087473577214E-3"/>
        <n v="1.6627704806932064E-3"/>
        <n v="1.6607534732867551E-3"/>
        <n v="1.659997095509336E-3"/>
        <n v="1.6489035547738544E-3"/>
        <n v="1.6478950510706288E-3"/>
        <n v="1.6458780436641774E-3"/>
        <n v="1.6453737918125648E-3"/>
        <n v="1.6441131621835324E-3"/>
        <n v="1.6436089103319198E-3"/>
        <n v="1.6428525325545007E-3"/>
        <n v="1.6393227695932109E-3"/>
        <n v="1.6345323770028894E-3"/>
        <n v="1.6310026140415998E-3"/>
        <n v="1.6304983621899872E-3"/>
        <n v="1.6289856066351487E-3"/>
        <n v="1.6287334807093422E-3"/>
        <n v="1.6274728510803102E-3"/>
        <n v="1.6262122214512782E-3"/>
        <n v="1.6226824584899887E-3"/>
        <n v="1.614110177012571E-3"/>
        <n v="1.6113367918287006E-3"/>
        <n v="1.6070506510899921E-3"/>
        <n v="1.6027645103512832E-3"/>
        <n v="1.6015038807222512E-3"/>
        <n v="1.6012517547964447E-3"/>
        <n v="1.6009996288706384E-3"/>
        <n v="1.5979741177609616E-3"/>
        <n v="1.5972177399835423E-3"/>
        <n v="1.596965614057736E-3"/>
        <n v="1.5964613622061231E-3"/>
        <n v="1.5931837251706399E-3"/>
        <n v="1.5909145918383825E-3"/>
        <n v="1.5901582140609631E-3"/>
        <n v="1.5883933325803183E-3"/>
        <n v="1.5878890807287055E-3"/>
        <n v="1.5873848288770927E-3"/>
        <n v="1.5866284510996735E-3"/>
        <n v="1.5863763251738672E-3"/>
        <n v="1.5846114436932224E-3"/>
        <n v="1.5810816807319329E-3"/>
        <n v="1.5793167992512881E-3"/>
        <n v="1.5772997918448368E-3"/>
        <n v="1.5765434140674176E-3"/>
        <n v="1.5760391622158048E-3"/>
        <n v="1.5747785325867728E-3"/>
        <n v="1.5709966436996767E-3"/>
        <n v="1.5664583770351617E-3"/>
        <n v="1.5611637325932271E-3"/>
        <n v="1.5606594807416143E-3"/>
        <n v="1.5599031029641952E-3"/>
        <n v="1.5583903474093569E-3"/>
        <n v="1.5538520807448417E-3"/>
        <n v="1.5505744437093584E-3"/>
        <n v="1.5450276733416175E-3"/>
        <n v="1.5445234214900047E-3"/>
        <n v="1.5430106659351664E-3"/>
        <n v="1.5427585400093599E-3"/>
        <n v="1.5394809029738768E-3"/>
        <n v="1.5384723992706512E-3"/>
        <n v="1.5273788585351696E-3"/>
        <n v="1.5253618511287183E-3"/>
        <n v="1.525109725202912E-3"/>
        <n v="1.5157810659480752E-3"/>
        <n v="1.5109906733577537E-3"/>
        <n v="1.5062002807674322E-3"/>
        <n v="1.5031747696577552E-3"/>
        <n v="1.4993928807706593E-3"/>
        <n v="1.497375873364208E-3"/>
        <n v="1.4953588659577569E-3"/>
        <n v="1.4933418585513056E-3"/>
        <n v="1.4918291029964673E-3"/>
        <n v="1.4872908363319521E-3"/>
        <n v="1.4847695770738882E-3"/>
        <n v="1.4840131992964688E-3"/>
        <n v="1.4837610733706625E-3"/>
        <n v="1.4726675326351807E-3"/>
        <n v="1.4688856437480849E-3"/>
        <n v="1.4666165104158272E-3"/>
        <n v="1.4625824956029248E-3"/>
        <n v="1.4623303696771185E-3"/>
        <n v="1.4610697400480866E-3"/>
        <n v="1.4598091104190544E-3"/>
        <n v="1.4580442289384096E-3"/>
        <n v="1.4522453326448626E-3"/>
        <n v="1.4504804511642178E-3"/>
        <n v="1.4489676956093793E-3"/>
        <n v="1.4479591919061537E-3"/>
        <n v="1.4477070659803474E-3"/>
        <n v="1.4416560437609937E-3"/>
        <n v="1.4411517919093808E-3"/>
        <n v="1.4376220289480915E-3"/>
        <n v="1.437369903022285E-3"/>
        <n v="1.4371177770964784E-3"/>
        <n v="1.4320752585803504E-3"/>
        <n v="1.4295539993222867E-3"/>
        <n v="1.4285454956190608E-3"/>
        <n v="1.4267806141384162E-3"/>
        <n v="1.4257721104351904E-3"/>
        <n v="1.4217380956222882E-3"/>
        <n v="1.4212338437706753E-3"/>
        <n v="1.4209817178448688E-3"/>
        <n v="1.4139221919222897E-3"/>
        <n v="1.4103924289610001E-3"/>
        <n v="1.4088796734061618E-3"/>
        <n v="1.4050977845190657E-3"/>
        <n v="1.4025765252610018E-3"/>
        <n v="1.4018201474835827E-3"/>
        <n v="1.3992988882255185E-3"/>
        <n v="1.3982903845222931E-3"/>
        <n v="1.3972818808190674E-3"/>
        <n v="1.3970297548932609E-3"/>
        <n v="1.3965255030416481E-3"/>
        <n v="1.394508495635197E-3"/>
        <n v="1.3942563697093905E-3"/>
        <n v="1.3919872363771331E-3"/>
        <n v="1.3892138511932626E-3"/>
        <n v="1.3884574734158433E-3"/>
        <n v="1.3854319623061667E-3"/>
        <n v="1.3849277104545537E-3"/>
        <n v="1.3829107030481026E-3"/>
        <n v="1.3801373178642321E-3"/>
        <n v="1.379380940086813E-3"/>
        <n v="1.3758511771255234E-3"/>
        <n v="1.3755990511997171E-3"/>
        <n v="1.374338421570685E-3"/>
        <n v="1.3738341697190721E-3"/>
        <n v="1.3695480289803634E-3"/>
        <n v="1.3685395252771378E-3"/>
        <n v="1.3604714956513329E-3"/>
        <n v="1.359210866022301E-3"/>
        <n v="1.3518992141739153E-3"/>
        <n v="1.3506385845448833E-3"/>
        <n v="1.3493779549158514E-3"/>
        <n v="1.3491258289900449E-3"/>
        <n v="1.3466045697319809E-3"/>
        <n v="1.3463524438061746E-3"/>
        <n v="1.3413099252900468E-3"/>
        <n v="1.3405535475126274E-3"/>
        <n v="1.3362674067739185E-3"/>
        <n v="1.3355110289964994E-3"/>
        <n v="1.3345025252932737E-3"/>
        <n v="1.3339982734416609E-3"/>
        <n v="1.3329897697384355E-3"/>
        <n v="1.3322333919610163E-3"/>
        <n v="1.3264344956674689E-3"/>
        <n v="1.323913236409405E-3"/>
        <n v="1.3224004808545667E-3"/>
        <n v="1.3211398512255345E-3"/>
        <n v="1.3201313475223091E-3"/>
        <n v="1.3186185919674706E-3"/>
        <n v="1.3135760734513428E-3"/>
        <n v="1.3130718215997297E-3"/>
        <n v="1.3128196956739234E-3"/>
        <n v="1.3108026882674723E-3"/>
        <n v="1.3105505623416658E-3"/>
        <n v="1.3102984364158595E-3"/>
        <n v="1.3082814290094082E-3"/>
        <n v="1.3065165475287634E-3"/>
        <n v="1.3032389104932801E-3"/>
        <n v="1.3027346586416675E-3"/>
        <n v="1.2966836364223138E-3"/>
        <n v="1.294918754941669E-3"/>
        <n v="1.2946666290158627E-3"/>
        <n v="1.2941623771642499E-3"/>
        <n v="1.2893719845739283E-3"/>
        <n v="1.2888677327223153E-3"/>
        <n v="1.2858422216126388E-3"/>
        <n v="1.2843294660578003E-3"/>
        <n v="1.2840773401319938E-3"/>
        <n v="1.2815560808739298E-3"/>
        <n v="1.2807997030965107E-3"/>
        <n v="1.2792869475416722E-3"/>
        <n v="1.2772699401352209E-3"/>
        <n v="1.2770178142094146E-3"/>
        <n v="1.2762614364319955E-3"/>
        <n v="1.2760093105061892E-3"/>
        <n v="1.2722274216190931E-3"/>
        <n v="1.2692019105094163E-3"/>
        <n v="1.2689497845836098E-3"/>
        <n v="1.2679412808803843E-3"/>
        <n v="1.2674370290287715E-3"/>
        <n v="1.2651678956965139E-3"/>
        <n v="1.2623945105126435E-3"/>
        <n v="1.2586126216255476E-3"/>
        <n v="1.2558392364416771E-3"/>
        <n v="1.2555871105158706E-3"/>
        <n v="1.2507967179255491E-3"/>
        <n v="1.2490318364449043E-3"/>
        <n v="1.2475190808900658E-3"/>
        <n v="1.2422244364481316E-3"/>
        <n v="1.2414680586707123E-3"/>
        <n v="1.2351649105255523E-3"/>
        <n v="1.2311308957126499E-3"/>
        <n v="1.2303745179352307E-3"/>
        <n v="1.2245756216416835E-3"/>
        <n v="1.2202894809029746E-3"/>
        <n v="1.216759717941685E-3"/>
        <n v="1.2147427105352339E-3"/>
        <n v="1.2137342068320083E-3"/>
        <n v="1.2097001920191059E-3"/>
        <n v="1.2079353105384611E-3"/>
        <n v="1.2039012957255587E-3"/>
        <n v="1.2036491697997524E-3"/>
        <n v="1.2023885401707202E-3"/>
        <n v="1.2003715327642691E-3"/>
        <n v="1.1975981475803987E-3"/>
        <n v="1.1943205105449156E-3"/>
        <n v="1.1925556290642706E-3"/>
        <n v="1.1905386216578195E-3"/>
        <n v="1.1860003549933043E-3"/>
        <n v="1.1824705920320147E-3"/>
        <n v="1.1799493327739508E-3"/>
        <n v="1.1791929549965316E-3"/>
        <n v="1.1789408290707251E-3"/>
        <n v="1.1738983105545973E-3"/>
        <n v="1.1680994142610499E-3"/>
        <n v="1.1658302809287925E-3"/>
        <n v="1.1640653994481477E-3"/>
        <n v="1.1577622513029876E-3"/>
        <n v="1.156753747599762E-3"/>
        <n v="1.15549311797073E-3"/>
        <n v="1.1544846142675044E-3"/>
        <n v="1.1537282364900852E-3"/>
        <n v="1.1534761105642787E-3"/>
        <n v="1.1512069772320211E-3"/>
        <n v="1.1509548513062148E-3"/>
        <n v="1.1423825698287974E-3"/>
        <n v="1.135323043906218E-3"/>
        <n v="1.1333060364997669E-3"/>
        <n v="1.1312890290933156E-3"/>
        <n v="1.1300283994642836E-3"/>
        <n v="1.1254901327997684E-3"/>
        <n v="1.1252380068739621E-3"/>
        <n v="1.124481629096543E-3"/>
        <n v="1.1194391105804149E-3"/>
        <n v="1.1191869846546084E-3"/>
        <n v="1.1186827328029956E-3"/>
        <n v="1.1166657253965445E-3"/>
        <n v="1.1161614735449316E-3"/>
        <n v="1.1156572216933188E-3"/>
        <n v="1.115152969841706E-3"/>
        <n v="1.1146487179900934E-3"/>
        <n v="1.1116232068804166E-3"/>
        <n v="1.1085976957707396E-3"/>
        <n v="1.1080934439191268E-3"/>
        <n v="1.1045636809578372E-3"/>
        <n v="1.1030509254029988E-3"/>
        <n v="1.0980084068868707E-3"/>
        <n v="1.0944786439255811E-3"/>
        <n v="1.0922095105933237E-3"/>
        <n v="1.0912010068900981E-3"/>
        <n v="1.0906967550384852E-3"/>
        <n v="1.089183999483647E-3"/>
        <n v="1.0886797476320341E-3"/>
        <n v="1.0884276217062276E-3"/>
        <n v="1.0836372291159061E-3"/>
        <n v="1.0818723476352613E-3"/>
        <n v="1.0763255772675204E-3"/>
        <n v="1.0717873106030052E-3"/>
        <n v="1.0705266809739732E-3"/>
        <n v="1.0672490439384901E-3"/>
        <n v="1.0654841624578451E-3"/>
        <n v="1.0622065254223621E-3"/>
        <n v="1.0591810143126853E-3"/>
        <n v="1.0543906217223638E-3"/>
        <n v="1.0485917254288166E-3"/>
        <n v="1.0460704661707525E-3"/>
        <n v="1.0422885772836566E-3"/>
        <n v="1.0397673180255927E-3"/>
        <n v="1.0395151920997861E-3"/>
        <n v="1.0306907846965622E-3"/>
        <n v="1.0301865328449494E-3"/>
        <n v="1.0284216513643046E-3"/>
        <n v="1.0132940958159204E-3"/>
        <n v="1.012285592112695E-3"/>
        <n v="1.0120334661868886E-3"/>
        <n v="1.0082515772997925E-3"/>
        <n v="1.0039654365610838E-3"/>
        <n v="1.0014441773030197E-3"/>
        <n v="9.9791441434173012E-4"/>
        <n v="9.9690591063850446E-4"/>
        <n v="9.875772513836679E-4"/>
        <n v="9.8076985138689505E-4"/>
        <n v="9.797613476836694E-4"/>
        <n v="9.7547520694496058E-4"/>
        <n v="9.7345819953850938E-4"/>
        <n v="9.6942418472560708E-4"/>
        <n v="9.641295402836726E-4"/>
        <n v="9.6236465880302781E-4"/>
        <n v="9.6059977732238302E-4"/>
        <n v="9.6034765139657672E-4"/>
        <n v="9.5480088102883572E-4"/>
        <n v="9.5379237732561017E-4"/>
        <n v="9.444637180707734E-4"/>
        <n v="9.4269883659012861E-4"/>
        <n v="9.346308069643238E-4"/>
        <n v="9.3261379955787271E-4"/>
        <n v="9.2580639956109986E-4"/>
        <n v="9.2555427363529344E-4"/>
        <n v="9.2227663659981017E-4"/>
        <n v="9.2202451067400386E-4"/>
        <n v="9.2051175511916538E-4"/>
        <n v="9.1546923660303754E-4"/>
        <n v="9.1294797734497351E-4"/>
        <n v="9.1269585141916709E-4"/>
        <n v="9.0261081438691097E-4"/>
        <n v="9.0210656253529825E-4"/>
        <n v="9.0135018475787912E-4"/>
        <n v="8.9706404401917019E-4"/>
        <n v="8.9580341439013833E-4"/>
        <n v="8.9202152550304234E-4"/>
        <n v="8.8899601439336538E-4"/>
        <n v="8.8521412550626949E-4"/>
        <n v="8.8319711809981829E-4"/>
        <n v="8.8168436254497981E-4"/>
        <n v="8.7664184402885196E-4"/>
        <n v="8.7059082180949835E-4"/>
        <n v="8.6907806625465987E-4"/>
        <n v="8.6756531069982139E-4"/>
        <n v="8.6428767366433833E-4"/>
        <n v="8.5848877737079103E-4"/>
        <n v="8.5647176996433993E-4"/>
        <n v="8.4336122182240717E-4"/>
        <n v="8.3655382182563432E-4"/>
        <n v="8.3327618479015104E-4"/>
        <n v="8.3277193293853833E-4"/>
        <n v="8.2445177738692721E-4"/>
        <n v="8.0049981443531919E-4"/>
        <n v="7.9797855517725516E-4"/>
        <n v="7.9596154777080395E-4"/>
        <n v="7.9369241443854634E-4"/>
        <n v="7.90919029254676E-4"/>
        <n v="7.8688501444177359E-4"/>
        <n v="7.8411162925790326E-4"/>
        <n v="7.7679997740951758E-4"/>
        <n v="7.7503509592887279E-4"/>
        <n v="7.7352234037403442E-4"/>
        <n v="7.73270214448228E-4"/>
        <n v="7.7200958481919604E-4"/>
        <n v="7.6469793297081036E-4"/>
        <n v="7.5612565149339272E-4"/>
        <n v="7.3923321446436408E-4"/>
        <n v="7.3545132557726808E-4"/>
        <n v="7.2511416261920566E-4"/>
        <n v="7.2486203669339924E-4"/>
        <n v="7.1402062188372409E-4"/>
        <n v="7.0998660707082169E-4"/>
        <n v="7.0191857744501688E-4"/>
        <n v="6.9687605892888892E-4"/>
        <n v="6.749411033837321E-4"/>
        <n v="6.7141134042244253E-4"/>
        <n v="6.5754441450309052E-4"/>
        <n v="6.5678803672567139E-4"/>
        <n v="6.4745937747083451E-4"/>
        <n v="6.373743404385786E-4"/>
        <n v="6.2098615526116256E-4"/>
        <n v="6.2048190340954973E-4"/>
        <n v="6.1367450341277699E-4"/>
        <n v="5.9249592564503942E-4"/>
        <n v="5.882097849063306E-4"/>
        <n v="5.8770553305471777E-4"/>
        <n v="5.7509923676439772E-4"/>
        <n v="5.6955246639665705E-4"/>
        <n v="5.6930034047085053E-4"/>
        <n v="5.6829183676762498E-4"/>
        <n v="5.6652695528698019E-4"/>
        <n v="5.5442491084827298E-4"/>
        <n v="5.5417278492246667E-4"/>
        <n v="5.4786963677730665E-4"/>
        <n v="5.4106223678053391E-4"/>
        <n v="5.3198570345150344E-4"/>
        <n v="5.25430429380537E-4"/>
        <n v="5.1206775531279782E-4"/>
        <n v="5.0853799235150835E-4"/>
        <n v="4.7954351088377227E-4"/>
        <n v="4.7929138495796597E-4"/>
        <n v="4.6693721459345228E-4"/>
        <n v="4.6088619237409873E-4"/>
        <n v="4.3668210349668434E-4"/>
        <n v="4.1802478498701074E-4"/>
        <n v="3.5297629612895964E-4"/>
        <n v="3.1893929614509566E-4"/>
        <n v="3.0129048133864766E-4"/>
        <n v="2.8086828134832933E-4"/>
        <n v="2.7633001468381415E-4"/>
        <n v="2.4708340729027176E-4"/>
        <n v="2.3271222951930698E-4"/>
        <n v="2.1909742952576136E-4"/>
        <n v="2.017007406451198E-4"/>
        <n v="1.7573177028706061E-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eur" refreshedDate="45314.796404398148" createdVersion="8" refreshedVersion="8" minRefreshableVersion="3" recordCount="660" xr:uid="{7E78D079-5387-47E5-BDA6-E45EE08094E8}">
  <cacheSource type="worksheet">
    <worksheetSource name="Table_1"/>
  </cacheSource>
  <cacheFields count="5">
    <cacheField name="ID client" numFmtId="0">
      <sharedItems containsSemiMixedTypes="0" containsString="0" containsNumber="1" containsInteger="1" minValue="1" maxValue="74" count="66">
        <n v="26"/>
        <n v="15"/>
        <n v="3"/>
        <n v="51"/>
        <n v="32"/>
        <n v="16"/>
        <n v="33"/>
        <n v="25"/>
        <n v="27"/>
        <n v="35"/>
        <n v="31"/>
        <n v="39"/>
        <n v="20"/>
        <n v="28"/>
        <n v="38"/>
        <n v="4"/>
        <n v="18"/>
        <n v="41"/>
        <n v="53"/>
        <n v="2"/>
        <n v="22"/>
        <n v="36"/>
        <n v="24"/>
        <n v="44"/>
        <n v="40"/>
        <n v="46"/>
        <n v="50"/>
        <n v="23"/>
        <n v="34"/>
        <n v="30"/>
        <n v="37"/>
        <n v="8"/>
        <n v="19"/>
        <n v="64"/>
        <n v="9"/>
        <n v="17"/>
        <n v="10"/>
        <n v="5"/>
        <n v="42"/>
        <n v="21"/>
        <n v="14"/>
        <n v="57"/>
        <n v="47"/>
        <n v="12"/>
        <n v="13"/>
        <n v="7"/>
        <n v="29"/>
        <n v="45"/>
        <n v="48"/>
        <n v="6"/>
        <n v="62"/>
        <n v="11"/>
        <n v="55"/>
        <n v="49"/>
        <n v="67"/>
        <n v="1"/>
        <n v="54"/>
        <n v="56"/>
        <n v="43"/>
        <n v="74"/>
        <n v="52"/>
        <n v="58"/>
        <n v="60"/>
        <n v="59"/>
        <n v="63"/>
        <n v="68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132.72999999999999"/>
        <n v="120.86"/>
        <n v="118.54"/>
        <n v="118.49"/>
        <n v="115.37"/>
        <n v="115.29"/>
        <n v="114.96"/>
        <n v="110.81"/>
        <n v="110.48"/>
        <n v="109.79"/>
        <n v="109.42"/>
        <n v="108.17"/>
        <n v="105.61"/>
        <n v="105.6"/>
        <n v="104.75"/>
        <n v="103.88"/>
        <n v="103.65"/>
        <n v="103.09"/>
        <n v="101.92"/>
        <n v="100.82"/>
        <n v="100.78"/>
        <n v="100.72"/>
        <n v="100.55"/>
        <n v="100.07"/>
        <n v="99.96"/>
        <n v="99.73"/>
        <n v="99.72"/>
        <n v="99.6"/>
        <n v="98.34"/>
        <n v="96.74"/>
        <n v="96.31"/>
        <n v="96.03"/>
        <n v="95.73"/>
        <n v="95.39"/>
        <n v="95.27"/>
        <n v="95.17"/>
        <n v="94.71"/>
        <n v="94.26"/>
        <n v="94.07"/>
        <n v="93.63"/>
        <n v="93.01"/>
        <n v="92.89"/>
        <n v="92.88"/>
        <n v="92.83"/>
        <n v="92.48"/>
        <n v="92.43"/>
        <n v="92.22"/>
        <n v="92.08"/>
        <n v="91.79"/>
        <n v="91.7"/>
        <n v="91.53"/>
        <n v="91.39"/>
        <n v="91.16"/>
        <n v="90.99"/>
        <n v="90.89"/>
        <n v="90.66"/>
        <n v="90.42"/>
        <n v="89.98"/>
        <n v="89.68"/>
        <n v="89.49"/>
        <n v="89.46"/>
        <n v="89.32"/>
        <n v="89.26"/>
        <n v="89.18"/>
        <n v="89.08"/>
        <n v="89.07"/>
        <n v="88.57"/>
        <n v="88.53"/>
        <n v="88.43"/>
        <n v="88.33"/>
        <n v="88.16"/>
        <n v="87.75"/>
        <n v="87.63"/>
        <n v="87.42"/>
        <n v="87.4"/>
        <n v="87.01"/>
        <n v="86.68"/>
        <n v="86.46"/>
        <n v="86.36"/>
        <n v="86.23"/>
        <n v="85.79"/>
        <n v="85.37"/>
        <n v="85.29"/>
        <n v="85.03"/>
        <n v="84.49"/>
        <n v="84.48"/>
        <n v="84.28"/>
        <n v="84.26"/>
        <n v="84.13"/>
        <n v="83.86"/>
        <n v="83.76"/>
        <n v="83.73"/>
        <n v="83.57"/>
        <n v="83.38"/>
        <n v="83.21"/>
        <n v="83.15"/>
        <n v="83.08"/>
        <n v="82.68"/>
        <n v="82.31"/>
        <n v="82.07"/>
        <n v="82.05"/>
        <n v="82.02"/>
        <n v="81.88"/>
        <n v="81.680000000000007"/>
        <n v="81.64"/>
        <n v="81.569999999999993"/>
        <n v="81.53"/>
        <n v="81.08"/>
        <n v="80.989999999999995"/>
        <n v="80.47"/>
        <n v="80.430000000000007"/>
        <n v="80.31"/>
        <n v="80.16"/>
        <n v="80.13"/>
        <n v="80.03"/>
        <n v="80"/>
        <n v="79.989999999999995"/>
        <n v="79.900000000000006"/>
        <n v="79.790000000000006"/>
        <n v="79.67"/>
        <n v="79.55"/>
        <n v="79.36"/>
        <n v="79.349999999999994"/>
        <n v="79.290000000000006"/>
        <n v="79.25"/>
        <n v="79.23"/>
        <n v="78.83"/>
        <n v="78.58"/>
        <n v="78.39"/>
        <n v="78.3"/>
        <n v="78.27"/>
        <n v="78.2"/>
        <n v="77.989999999999995"/>
        <n v="77.92"/>
        <n v="77.84"/>
        <n v="77.760000000000005"/>
        <n v="77.45"/>
        <n v="77.400000000000006"/>
        <n v="77.39"/>
        <n v="77.38"/>
        <n v="77.36"/>
        <n v="77.319999999999993"/>
        <n v="77.290000000000006"/>
        <n v="77.16"/>
        <n v="77.150000000000006"/>
        <n v="77.13"/>
        <n v="77.069999999999993"/>
        <n v="76.959999999999994"/>
        <n v="76.7"/>
        <n v="76.55"/>
        <n v="76.47"/>
        <n v="76.39"/>
        <n v="76.37"/>
        <n v="76.27"/>
        <n v="76.010000000000005"/>
        <n v="75.75"/>
        <n v="75.739999999999995"/>
        <n v="75.459999999999994"/>
        <n v="75.430000000000007"/>
        <n v="75.08"/>
        <n v="75.03"/>
        <n v="74.97"/>
        <n v="74.760000000000005"/>
        <n v="74.739999999999995"/>
        <n v="74.44"/>
        <n v="74.41"/>
        <n v="74.239999999999995"/>
        <n v="74.14"/>
        <n v="74.09"/>
        <n v="73.91"/>
        <n v="73.87"/>
        <n v="73.78"/>
        <n v="73.75"/>
        <n v="73.69"/>
        <n v="73.45"/>
        <n v="73.260000000000005"/>
        <n v="73.25"/>
        <n v="73.02"/>
        <n v="72.92"/>
        <n v="72.78"/>
        <n v="72.72"/>
        <n v="72.56"/>
        <n v="72.540000000000006"/>
        <n v="72.510000000000005"/>
        <n v="72.44"/>
        <n v="72.349999999999994"/>
        <n v="72.25"/>
        <n v="71.98"/>
        <n v="71.62"/>
        <n v="71.599999999999994"/>
        <n v="71.47"/>
        <n v="71.33"/>
        <n v="71.150000000000006"/>
        <n v="71.069999999999993"/>
        <n v="71.040000000000006"/>
        <n v="70.88"/>
        <n v="70.739999999999995"/>
        <n v="70.61"/>
        <n v="70.489999999999995"/>
        <n v="70.430000000000007"/>
        <n v="70.38"/>
        <n v="70.36"/>
        <n v="70.22"/>
        <n v="70.06"/>
        <n v="70.040000000000006"/>
        <n v="70"/>
        <n v="69.86"/>
        <n v="69.61"/>
        <n v="69.099999999999994"/>
        <n v="69.069999999999993"/>
        <n v="69.06"/>
        <n v="69.040000000000006"/>
        <n v="68.959999999999994"/>
        <n v="68.91"/>
        <n v="68.760000000000005"/>
        <n v="68.48"/>
        <n v="68.38"/>
        <n v="68.260000000000005"/>
        <n v="68.12"/>
        <n v="68.069999999999993"/>
        <n v="68.02"/>
        <n v="67.95"/>
        <n v="67.87"/>
        <n v="67.739999999999995"/>
        <n v="67.66"/>
        <n v="67.63"/>
        <n v="67.44"/>
        <n v="67.36"/>
        <n v="67.31"/>
        <n v="67.260000000000005"/>
        <n v="67.25"/>
        <n v="67.23"/>
        <n v="67.2"/>
        <n v="67.150000000000006"/>
        <n v="67.12"/>
        <n v="67.069999999999993"/>
        <n v="67.02"/>
        <n v="66.959999999999994"/>
        <n v="66.86"/>
        <n v="66.72"/>
        <n v="66.709999999999994"/>
        <n v="66.650000000000006"/>
        <n v="66.56"/>
        <n v="66.430000000000007"/>
        <n v="66.28"/>
        <n v="66.22"/>
        <n v="66.209999999999994"/>
        <n v="66.16"/>
        <n v="66.13"/>
        <n v="65.95"/>
        <n v="65.87"/>
        <n v="65.84"/>
        <n v="65.400000000000006"/>
        <n v="65.36"/>
        <n v="65.28"/>
        <n v="65.260000000000005"/>
        <n v="65.209999999999994"/>
        <n v="65.19"/>
        <n v="65.16"/>
        <n v="65.02"/>
        <n v="64.83"/>
        <n v="64.69"/>
        <n v="64.67"/>
        <n v="64.61"/>
        <n v="64.599999999999994"/>
        <n v="64.55"/>
        <n v="64.5"/>
        <n v="64.36"/>
        <n v="64.02"/>
        <n v="63.91"/>
        <n v="63.74"/>
        <n v="63.57"/>
        <n v="63.52"/>
        <n v="63.51"/>
        <n v="63.5"/>
        <n v="63.38"/>
        <n v="63.35"/>
        <n v="63.34"/>
        <n v="63.32"/>
        <n v="63.19"/>
        <n v="63.1"/>
        <n v="63.07"/>
        <n v="63"/>
        <n v="62.98"/>
        <n v="62.96"/>
        <n v="62.93"/>
        <n v="62.92"/>
        <n v="62.85"/>
        <n v="62.71"/>
        <n v="62.64"/>
        <n v="62.56"/>
        <n v="62.53"/>
        <n v="62.51"/>
        <n v="62.46"/>
        <n v="62.31"/>
        <n v="62.13"/>
        <n v="61.92"/>
        <n v="61.9"/>
        <n v="61.87"/>
        <n v="61.81"/>
        <n v="61.63"/>
        <n v="61.5"/>
        <n v="61.28"/>
        <n v="61.26"/>
        <n v="61.2"/>
        <n v="61.19"/>
        <n v="61.06"/>
        <n v="61.02"/>
        <n v="60.58"/>
        <n v="60.5"/>
        <n v="60.49"/>
        <n v="60.12"/>
        <n v="59.93"/>
        <n v="59.74"/>
        <n v="59.62"/>
        <n v="59.47"/>
        <n v="59.39"/>
        <n v="59.31"/>
        <n v="59.23"/>
        <n v="59.17"/>
        <n v="58.99"/>
        <n v="58.89"/>
        <n v="58.86"/>
        <n v="58.85"/>
        <n v="58.41"/>
        <n v="58.26"/>
        <n v="58.17"/>
        <n v="58.01"/>
        <n v="58"/>
        <n v="57.95"/>
        <n v="57.9"/>
        <n v="57.83"/>
        <n v="57.6"/>
        <n v="57.53"/>
        <n v="57.47"/>
        <n v="57.43"/>
        <n v="57.42"/>
        <n v="57.18"/>
        <n v="57.16"/>
        <n v="57.02"/>
        <n v="57.01"/>
        <n v="57"/>
        <n v="56.8"/>
        <n v="56.7"/>
        <n v="56.66"/>
        <n v="56.59"/>
        <n v="56.55"/>
        <n v="56.39"/>
        <n v="56.37"/>
        <n v="56.36"/>
        <n v="56.08"/>
        <n v="55.94"/>
        <n v="55.88"/>
        <n v="55.73"/>
        <n v="55.63"/>
        <n v="55.6"/>
        <n v="55.5"/>
        <n v="55.46"/>
        <n v="55.42"/>
        <n v="55.41"/>
        <n v="55.39"/>
        <n v="55.31"/>
        <n v="55.3"/>
        <n v="55.21"/>
        <n v="55.1"/>
        <n v="55.07"/>
        <n v="54.95"/>
        <n v="54.93"/>
        <n v="54.85"/>
        <n v="54.74"/>
        <n v="54.71"/>
        <n v="54.57"/>
        <n v="54.56"/>
        <n v="54.51"/>
        <n v="54.49"/>
        <n v="54.32"/>
        <n v="54.28"/>
        <n v="53.96"/>
        <n v="53.91"/>
        <n v="53.62"/>
        <n v="53.57"/>
        <n v="53.52"/>
        <n v="53.51"/>
        <n v="53.41"/>
        <n v="53.4"/>
        <n v="53.2"/>
        <n v="53.17"/>
        <n v="53"/>
        <n v="52.97"/>
        <n v="52.93"/>
        <n v="52.91"/>
        <n v="52.87"/>
        <n v="52.84"/>
        <n v="52.61"/>
        <n v="52.51"/>
        <n v="52.45"/>
        <n v="52.4"/>
        <n v="52.36"/>
        <n v="52.3"/>
        <n v="52.1"/>
        <n v="52.08"/>
        <n v="52.07"/>
        <n v="51.99"/>
        <n v="51.98"/>
        <n v="51.97"/>
        <n v="51.89"/>
        <n v="51.82"/>
        <n v="51.69"/>
        <n v="51.67"/>
        <n v="51.43"/>
        <n v="51.36"/>
        <n v="51.35"/>
        <n v="51.33"/>
        <n v="51.14"/>
        <n v="51.12"/>
        <n v="51"/>
        <n v="50.94"/>
        <n v="50.93"/>
        <n v="50.83"/>
        <n v="50.8"/>
        <n v="50.74"/>
        <n v="50.66"/>
        <n v="50.65"/>
        <n v="50.62"/>
        <n v="50.61"/>
        <n v="50.46"/>
        <n v="50.34"/>
        <n v="50.33"/>
        <n v="50.29"/>
        <n v="50.27"/>
        <n v="50.18"/>
        <n v="50.07"/>
        <n v="49.92"/>
        <n v="49.81"/>
        <n v="49.8"/>
        <n v="49.61"/>
        <n v="49.54"/>
        <n v="49.48"/>
        <n v="49.27"/>
        <n v="49.24"/>
        <n v="48.99"/>
        <n v="48.83"/>
        <n v="48.8"/>
        <n v="48.57"/>
        <n v="48.4"/>
        <n v="48.26"/>
        <n v="48.18"/>
        <n v="48.14"/>
        <n v="47.98"/>
        <n v="47.91"/>
        <n v="47.75"/>
        <n v="47.74"/>
        <n v="47.69"/>
        <n v="47.61"/>
        <n v="47.5"/>
        <n v="47.37"/>
        <n v="47.3"/>
        <n v="47.22"/>
        <n v="47.04"/>
        <n v="46.9"/>
        <n v="46.8"/>
        <n v="46.77"/>
        <n v="46.76"/>
        <n v="46.56"/>
        <n v="46.33"/>
        <n v="46.24"/>
        <n v="46.17"/>
        <n v="45.92"/>
        <n v="45.88"/>
        <n v="45.83"/>
        <n v="45.79"/>
        <n v="45.76"/>
        <n v="45.75"/>
        <n v="45.66"/>
        <n v="45.65"/>
        <n v="45.31"/>
        <n v="45.03"/>
        <n v="44.95"/>
        <n v="44.87"/>
        <n v="44.82"/>
        <n v="44.64"/>
        <n v="44.63"/>
        <n v="44.6"/>
        <n v="44.4"/>
        <n v="44.39"/>
        <n v="44.37"/>
        <n v="44.29"/>
        <n v="44.27"/>
        <n v="44.25"/>
        <n v="44.23"/>
        <n v="44.21"/>
        <n v="44.09"/>
        <n v="43.97"/>
        <n v="43.95"/>
        <n v="43.81"/>
        <n v="43.75"/>
        <n v="43.55"/>
        <n v="43.41"/>
        <n v="43.32"/>
        <n v="43.28"/>
        <n v="43.26"/>
        <n v="43.2"/>
        <n v="43.18"/>
        <n v="43.17"/>
        <n v="42.98"/>
        <n v="42.91"/>
        <n v="42.69"/>
        <n v="42.51"/>
        <n v="42.46"/>
        <n v="42.33"/>
        <n v="42.26"/>
        <n v="42.13"/>
        <n v="42.01"/>
        <n v="41.82"/>
        <n v="41.59"/>
        <n v="41.49"/>
        <n v="41.34"/>
        <n v="41.24"/>
        <n v="41.23"/>
        <n v="40.880000000000003"/>
        <n v="40.86"/>
        <n v="40.79"/>
        <n v="40.19"/>
        <n v="40.15"/>
        <n v="40.14"/>
        <n v="39.99"/>
        <n v="39.82"/>
        <n v="39.72"/>
        <n v="39.58"/>
        <n v="39.54"/>
        <n v="39.17"/>
        <n v="38.9"/>
        <n v="38.86"/>
        <n v="38.69"/>
        <n v="38.61"/>
        <n v="38.450000000000003"/>
        <n v="38.24"/>
        <n v="38.17"/>
        <n v="38.1"/>
        <n v="38.090000000000003"/>
        <n v="37.869999999999997"/>
        <n v="37.83"/>
        <n v="37.46"/>
        <n v="37.39"/>
        <n v="37.07"/>
        <n v="36.99"/>
        <n v="36.72"/>
        <n v="36.71"/>
        <n v="36.58"/>
        <n v="36.57"/>
        <n v="36.51"/>
        <n v="36.31"/>
        <n v="36.21"/>
        <n v="36.200000000000003"/>
        <n v="35.799999999999997"/>
        <n v="35.78"/>
        <n v="35.75"/>
        <n v="35.58"/>
        <n v="35.53"/>
        <n v="35.380000000000003"/>
        <n v="35.26"/>
        <n v="35.11"/>
        <n v="35.03"/>
        <n v="34.97"/>
        <n v="34.770000000000003"/>
        <n v="34.53"/>
        <n v="34.47"/>
        <n v="34.409999999999997"/>
        <n v="34.28"/>
        <n v="34.049999999999997"/>
        <n v="33.97"/>
        <n v="33.450000000000003"/>
        <n v="33.18"/>
        <n v="33.049999999999997"/>
        <n v="33.03"/>
        <n v="32.700000000000003"/>
        <n v="31.75"/>
        <n v="31.65"/>
        <n v="31.57"/>
        <n v="31.48"/>
        <n v="31.37"/>
        <n v="31.21"/>
        <n v="31.1"/>
        <n v="30.81"/>
        <n v="30.74"/>
        <n v="30.68"/>
        <n v="30.67"/>
        <n v="30.62"/>
        <n v="30.33"/>
        <n v="29.99"/>
        <n v="29.32"/>
        <n v="29.17"/>
        <n v="28.76"/>
        <n v="28.75"/>
        <n v="28.32"/>
        <n v="28.16"/>
        <n v="27.84"/>
        <n v="27.64"/>
        <n v="26.77"/>
        <n v="26.63"/>
        <n v="26.08"/>
        <n v="26.05"/>
        <n v="25.68"/>
        <n v="25.28"/>
        <n v="24.63"/>
        <n v="24.61"/>
        <n v="24.34"/>
        <n v="23.5"/>
        <n v="23.33"/>
        <n v="23.31"/>
        <n v="22.81"/>
        <n v="22.59"/>
        <n v="22.58"/>
        <n v="22.54"/>
        <n v="22.47"/>
        <n v="21.99"/>
        <n v="21.98"/>
        <n v="21.73"/>
        <n v="21.46"/>
        <n v="21.1"/>
        <n v="20.84"/>
        <n v="20.309999999999999"/>
        <n v="20.170000000000002"/>
        <n v="19.02"/>
        <n v="19.010000000000002"/>
        <n v="18.52"/>
        <n v="18.28"/>
        <n v="17.32"/>
        <n v="16.579999999999998"/>
        <n v="14"/>
        <n v="12.65"/>
        <n v="11.95"/>
        <n v="11.14"/>
        <n v="10.96"/>
        <n v="9.8000000000000007"/>
        <n v="9.23"/>
        <n v="8.69"/>
        <n v="8"/>
        <n v="6.97"/>
      </sharedItems>
    </cacheField>
    <cacheField name="Categorie" numFmtId="0">
      <sharedItems count="2">
        <s v="nourriture"/>
        <s v="bien de conso."/>
      </sharedItems>
    </cacheField>
    <cacheField name="CA %" numFmtId="10">
      <sharedItems containsSemiMixedTypes="0" containsString="0" containsNumber="1" minValue="1.7573177028706061E-4" maxValue="3.3464674132283436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9.68"/>
    <x v="0"/>
    <x v="0"/>
    <x v="0"/>
  </r>
  <r>
    <x v="1"/>
    <n v="12.6"/>
    <x v="1"/>
    <x v="0"/>
    <x v="1"/>
  </r>
  <r>
    <x v="2"/>
    <n v="8.93"/>
    <x v="2"/>
    <x v="1"/>
    <x v="2"/>
  </r>
  <r>
    <x v="3"/>
    <n v="11.5"/>
    <x v="3"/>
    <x v="0"/>
    <x v="3"/>
  </r>
  <r>
    <x v="4"/>
    <n v="8.8000000000000007"/>
    <x v="4"/>
    <x v="0"/>
    <x v="4"/>
  </r>
  <r>
    <x v="5"/>
    <n v="8.2899999999999991"/>
    <x v="5"/>
    <x v="1"/>
    <x v="5"/>
  </r>
  <r>
    <x v="6"/>
    <n v="11.9"/>
    <x v="6"/>
    <x v="0"/>
    <x v="6"/>
  </r>
  <r>
    <x v="7"/>
    <n v="12.5"/>
    <x v="7"/>
    <x v="0"/>
    <x v="7"/>
  </r>
  <r>
    <x v="7"/>
    <n v="8.0399999999999991"/>
    <x v="8"/>
    <x v="0"/>
    <x v="8"/>
  </r>
  <r>
    <x v="8"/>
    <n v="9.7799999999999994"/>
    <x v="9"/>
    <x v="0"/>
    <x v="9"/>
  </r>
  <r>
    <x v="9"/>
    <n v="12.4"/>
    <x v="10"/>
    <x v="0"/>
    <x v="10"/>
  </r>
  <r>
    <x v="10"/>
    <n v="9.84"/>
    <x v="11"/>
    <x v="0"/>
    <x v="11"/>
  </r>
  <r>
    <x v="11"/>
    <n v="12.5"/>
    <x v="12"/>
    <x v="0"/>
    <x v="12"/>
  </r>
  <r>
    <x v="0"/>
    <n v="11.8"/>
    <x v="13"/>
    <x v="0"/>
    <x v="13"/>
  </r>
  <r>
    <x v="12"/>
    <n v="7.97"/>
    <x v="14"/>
    <x v="0"/>
    <x v="14"/>
  </r>
  <r>
    <x v="13"/>
    <n v="12.3"/>
    <x v="15"/>
    <x v="0"/>
    <x v="15"/>
  </r>
  <r>
    <x v="14"/>
    <n v="8.56"/>
    <x v="16"/>
    <x v="0"/>
    <x v="16"/>
  </r>
  <r>
    <x v="15"/>
    <n v="10.4"/>
    <x v="17"/>
    <x v="0"/>
    <x v="17"/>
  </r>
  <r>
    <x v="4"/>
    <n v="7.3"/>
    <x v="18"/>
    <x v="0"/>
    <x v="18"/>
  </r>
  <r>
    <x v="16"/>
    <n v="11.1"/>
    <x v="19"/>
    <x v="0"/>
    <x v="19"/>
  </r>
  <r>
    <x v="9"/>
    <n v="8.3800000000000008"/>
    <x v="20"/>
    <x v="1"/>
    <x v="20"/>
  </r>
  <r>
    <x v="1"/>
    <n v="9.69"/>
    <x v="21"/>
    <x v="0"/>
    <x v="21"/>
  </r>
  <r>
    <x v="17"/>
    <n v="12.5"/>
    <x v="22"/>
    <x v="0"/>
    <x v="22"/>
  </r>
  <r>
    <x v="7"/>
    <n v="5.94"/>
    <x v="23"/>
    <x v="0"/>
    <x v="23"/>
  </r>
  <r>
    <x v="18"/>
    <n v="8.0500000000000007"/>
    <x v="24"/>
    <x v="0"/>
    <x v="24"/>
  </r>
  <r>
    <x v="19"/>
    <n v="10.7"/>
    <x v="25"/>
    <x v="0"/>
    <x v="25"/>
  </r>
  <r>
    <x v="17"/>
    <n v="12.5"/>
    <x v="26"/>
    <x v="0"/>
    <x v="26"/>
  </r>
  <r>
    <x v="20"/>
    <n v="11.3"/>
    <x v="27"/>
    <x v="0"/>
    <x v="27"/>
  </r>
  <r>
    <x v="0"/>
    <n v="10"/>
    <x v="28"/>
    <x v="0"/>
    <x v="28"/>
  </r>
  <r>
    <x v="20"/>
    <n v="12.4"/>
    <x v="29"/>
    <x v="0"/>
    <x v="29"/>
  </r>
  <r>
    <x v="21"/>
    <n v="9.35"/>
    <x v="30"/>
    <x v="1"/>
    <x v="30"/>
  </r>
  <r>
    <x v="22"/>
    <n v="5.0599999999999996"/>
    <x v="31"/>
    <x v="1"/>
    <x v="31"/>
  </r>
  <r>
    <x v="2"/>
    <n v="12"/>
    <x v="32"/>
    <x v="0"/>
    <x v="32"/>
  </r>
  <r>
    <x v="10"/>
    <n v="11.6"/>
    <x v="33"/>
    <x v="0"/>
    <x v="33"/>
  </r>
  <r>
    <x v="23"/>
    <n v="6.44"/>
    <x v="34"/>
    <x v="1"/>
    <x v="34"/>
  </r>
  <r>
    <x v="12"/>
    <n v="11.9"/>
    <x v="35"/>
    <x v="0"/>
    <x v="35"/>
  </r>
  <r>
    <x v="19"/>
    <n v="9.73"/>
    <x v="36"/>
    <x v="0"/>
    <x v="36"/>
  </r>
  <r>
    <x v="2"/>
    <n v="9.23"/>
    <x v="37"/>
    <x v="0"/>
    <x v="37"/>
  </r>
  <r>
    <x v="24"/>
    <n v="12.1"/>
    <x v="38"/>
    <x v="0"/>
    <x v="38"/>
  </r>
  <r>
    <x v="17"/>
    <n v="11.7"/>
    <x v="39"/>
    <x v="0"/>
    <x v="39"/>
  </r>
  <r>
    <x v="7"/>
    <n v="9.67"/>
    <x v="40"/>
    <x v="1"/>
    <x v="40"/>
  </r>
  <r>
    <x v="25"/>
    <n v="9.6199999999999992"/>
    <x v="41"/>
    <x v="0"/>
    <x v="41"/>
  </r>
  <r>
    <x v="26"/>
    <n v="5.21"/>
    <x v="42"/>
    <x v="0"/>
    <x v="42"/>
  </r>
  <r>
    <x v="22"/>
    <n v="7.07"/>
    <x v="43"/>
    <x v="0"/>
    <x v="43"/>
  </r>
  <r>
    <x v="27"/>
    <n v="8.18"/>
    <x v="44"/>
    <x v="1"/>
    <x v="44"/>
  </r>
  <r>
    <x v="8"/>
    <n v="11.3"/>
    <x v="45"/>
    <x v="0"/>
    <x v="45"/>
  </r>
  <r>
    <x v="27"/>
    <n v="7.55"/>
    <x v="46"/>
    <x v="0"/>
    <x v="46"/>
  </r>
  <r>
    <x v="28"/>
    <n v="9.99"/>
    <x v="46"/>
    <x v="0"/>
    <x v="46"/>
  </r>
  <r>
    <x v="29"/>
    <n v="12.1"/>
    <x v="47"/>
    <x v="0"/>
    <x v="47"/>
  </r>
  <r>
    <x v="21"/>
    <n v="12.8"/>
    <x v="48"/>
    <x v="0"/>
    <x v="48"/>
  </r>
  <r>
    <x v="14"/>
    <n v="9.24"/>
    <x v="49"/>
    <x v="0"/>
    <x v="49"/>
  </r>
  <r>
    <x v="23"/>
    <n v="8.7899999999999991"/>
    <x v="50"/>
    <x v="0"/>
    <x v="50"/>
  </r>
  <r>
    <x v="21"/>
    <n v="7.25"/>
    <x v="51"/>
    <x v="0"/>
    <x v="51"/>
  </r>
  <r>
    <x v="30"/>
    <n v="8.65"/>
    <x v="52"/>
    <x v="0"/>
    <x v="52"/>
  </r>
  <r>
    <x v="19"/>
    <n v="9.4600000000000009"/>
    <x v="53"/>
    <x v="1"/>
    <x v="53"/>
  </r>
  <r>
    <x v="25"/>
    <n v="12.2"/>
    <x v="54"/>
    <x v="0"/>
    <x v="54"/>
  </r>
  <r>
    <x v="19"/>
    <n v="12.4"/>
    <x v="55"/>
    <x v="0"/>
    <x v="55"/>
  </r>
  <r>
    <x v="5"/>
    <n v="9.3800000000000008"/>
    <x v="56"/>
    <x v="0"/>
    <x v="56"/>
  </r>
  <r>
    <x v="31"/>
    <n v="8.39"/>
    <x v="57"/>
    <x v="1"/>
    <x v="57"/>
  </r>
  <r>
    <x v="32"/>
    <n v="12.7"/>
    <x v="58"/>
    <x v="0"/>
    <x v="58"/>
  </r>
  <r>
    <x v="23"/>
    <n v="10.3"/>
    <x v="59"/>
    <x v="0"/>
    <x v="59"/>
  </r>
  <r>
    <x v="19"/>
    <n v="7.12"/>
    <x v="60"/>
    <x v="0"/>
    <x v="60"/>
  </r>
  <r>
    <x v="4"/>
    <n v="9.74"/>
    <x v="61"/>
    <x v="0"/>
    <x v="61"/>
  </r>
  <r>
    <x v="4"/>
    <n v="8.68"/>
    <x v="62"/>
    <x v="0"/>
    <x v="62"/>
  </r>
  <r>
    <x v="33"/>
    <n v="8.08"/>
    <x v="63"/>
    <x v="0"/>
    <x v="63"/>
  </r>
  <r>
    <x v="5"/>
    <n v="9.0399999999999991"/>
    <x v="64"/>
    <x v="0"/>
    <x v="64"/>
  </r>
  <r>
    <x v="34"/>
    <n v="8.1199999999999992"/>
    <x v="65"/>
    <x v="0"/>
    <x v="65"/>
  </r>
  <r>
    <x v="20"/>
    <n v="12.7"/>
    <x v="66"/>
    <x v="0"/>
    <x v="66"/>
  </r>
  <r>
    <x v="14"/>
    <n v="8.75"/>
    <x v="67"/>
    <x v="1"/>
    <x v="67"/>
  </r>
  <r>
    <x v="27"/>
    <n v="8.65"/>
    <x v="68"/>
    <x v="1"/>
    <x v="68"/>
  </r>
  <r>
    <x v="26"/>
    <n v="8.42"/>
    <x v="69"/>
    <x v="0"/>
    <x v="69"/>
  </r>
  <r>
    <x v="35"/>
    <n v="10"/>
    <x v="70"/>
    <x v="0"/>
    <x v="70"/>
  </r>
  <r>
    <x v="21"/>
    <n v="11.3"/>
    <x v="71"/>
    <x v="0"/>
    <x v="71"/>
  </r>
  <r>
    <x v="35"/>
    <n v="10.1"/>
    <x v="72"/>
    <x v="0"/>
    <x v="72"/>
  </r>
  <r>
    <x v="36"/>
    <n v="6.95"/>
    <x v="73"/>
    <x v="0"/>
    <x v="73"/>
  </r>
  <r>
    <x v="0"/>
    <n v="5.78"/>
    <x v="74"/>
    <x v="1"/>
    <x v="74"/>
  </r>
  <r>
    <x v="37"/>
    <n v="8.68"/>
    <x v="75"/>
    <x v="0"/>
    <x v="75"/>
  </r>
  <r>
    <x v="38"/>
    <n v="7.06"/>
    <x v="76"/>
    <x v="1"/>
    <x v="76"/>
  </r>
  <r>
    <x v="13"/>
    <n v="7.41"/>
    <x v="77"/>
    <x v="1"/>
    <x v="77"/>
  </r>
  <r>
    <x v="19"/>
    <n v="8.5399999999999991"/>
    <x v="78"/>
    <x v="0"/>
    <x v="78"/>
  </r>
  <r>
    <x v="14"/>
    <n v="7.21"/>
    <x v="79"/>
    <x v="1"/>
    <x v="79"/>
  </r>
  <r>
    <x v="28"/>
    <n v="8.89"/>
    <x v="80"/>
    <x v="0"/>
    <x v="80"/>
  </r>
  <r>
    <x v="39"/>
    <n v="10.6"/>
    <x v="81"/>
    <x v="0"/>
    <x v="81"/>
  </r>
  <r>
    <x v="21"/>
    <n v="6.94"/>
    <x v="82"/>
    <x v="0"/>
    <x v="82"/>
  </r>
  <r>
    <x v="40"/>
    <n v="7.95"/>
    <x v="83"/>
    <x v="1"/>
    <x v="83"/>
  </r>
  <r>
    <x v="40"/>
    <n v="8.6"/>
    <x v="84"/>
    <x v="0"/>
    <x v="84"/>
  </r>
  <r>
    <x v="9"/>
    <n v="9.33"/>
    <x v="85"/>
    <x v="0"/>
    <x v="85"/>
  </r>
  <r>
    <x v="20"/>
    <n v="9.8699999999999992"/>
    <x v="86"/>
    <x v="1"/>
    <x v="86"/>
  </r>
  <r>
    <x v="41"/>
    <n v="5.96"/>
    <x v="87"/>
    <x v="0"/>
    <x v="87"/>
  </r>
  <r>
    <x v="38"/>
    <n v="7.33"/>
    <x v="88"/>
    <x v="0"/>
    <x v="88"/>
  </r>
  <r>
    <x v="27"/>
    <n v="12.1"/>
    <x v="89"/>
    <x v="0"/>
    <x v="89"/>
  </r>
  <r>
    <x v="29"/>
    <n v="9.2200000000000006"/>
    <x v="90"/>
    <x v="1"/>
    <x v="90"/>
  </r>
  <r>
    <x v="1"/>
    <n v="9.98"/>
    <x v="91"/>
    <x v="1"/>
    <x v="91"/>
  </r>
  <r>
    <x v="42"/>
    <n v="7.59"/>
    <x v="92"/>
    <x v="1"/>
    <x v="92"/>
  </r>
  <r>
    <x v="5"/>
    <n v="8.74"/>
    <x v="93"/>
    <x v="0"/>
    <x v="93"/>
  </r>
  <r>
    <x v="7"/>
    <n v="12"/>
    <x v="94"/>
    <x v="0"/>
    <x v="94"/>
  </r>
  <r>
    <x v="0"/>
    <n v="9.2100000000000009"/>
    <x v="95"/>
    <x v="1"/>
    <x v="95"/>
  </r>
  <r>
    <x v="43"/>
    <n v="5.61"/>
    <x v="96"/>
    <x v="0"/>
    <x v="96"/>
  </r>
  <r>
    <x v="34"/>
    <n v="9.23"/>
    <x v="97"/>
    <x v="0"/>
    <x v="97"/>
  </r>
  <r>
    <x v="1"/>
    <n v="9.25"/>
    <x v="98"/>
    <x v="0"/>
    <x v="98"/>
  </r>
  <r>
    <x v="40"/>
    <n v="9.69"/>
    <x v="99"/>
    <x v="0"/>
    <x v="99"/>
  </r>
  <r>
    <x v="44"/>
    <n v="4.08"/>
    <x v="100"/>
    <x v="1"/>
    <x v="100"/>
  </r>
  <r>
    <x v="20"/>
    <n v="10.7"/>
    <x v="101"/>
    <x v="0"/>
    <x v="101"/>
  </r>
  <r>
    <x v="16"/>
    <n v="6.84"/>
    <x v="102"/>
    <x v="0"/>
    <x v="102"/>
  </r>
  <r>
    <x v="28"/>
    <n v="9.94"/>
    <x v="103"/>
    <x v="1"/>
    <x v="103"/>
  </r>
  <r>
    <x v="13"/>
    <n v="9.27"/>
    <x v="104"/>
    <x v="0"/>
    <x v="104"/>
  </r>
  <r>
    <x v="7"/>
    <n v="9.77"/>
    <x v="105"/>
    <x v="1"/>
    <x v="105"/>
  </r>
  <r>
    <x v="21"/>
    <n v="8.11"/>
    <x v="106"/>
    <x v="0"/>
    <x v="106"/>
  </r>
  <r>
    <x v="9"/>
    <n v="7.69"/>
    <x v="107"/>
    <x v="1"/>
    <x v="107"/>
  </r>
  <r>
    <x v="45"/>
    <n v="9.9499999999999993"/>
    <x v="108"/>
    <x v="1"/>
    <x v="108"/>
  </r>
  <r>
    <x v="13"/>
    <n v="9.49"/>
    <x v="109"/>
    <x v="1"/>
    <x v="109"/>
  </r>
  <r>
    <x v="12"/>
    <n v="7.36"/>
    <x v="110"/>
    <x v="1"/>
    <x v="110"/>
  </r>
  <r>
    <x v="19"/>
    <n v="5.96"/>
    <x v="111"/>
    <x v="0"/>
    <x v="111"/>
  </r>
  <r>
    <x v="14"/>
    <n v="8.2200000000000006"/>
    <x v="111"/>
    <x v="1"/>
    <x v="111"/>
  </r>
  <r>
    <x v="25"/>
    <n v="9.93"/>
    <x v="112"/>
    <x v="1"/>
    <x v="112"/>
  </r>
  <r>
    <x v="35"/>
    <n v="5.99"/>
    <x v="113"/>
    <x v="0"/>
    <x v="113"/>
  </r>
  <r>
    <x v="34"/>
    <n v="9.57"/>
    <x v="114"/>
    <x v="0"/>
    <x v="114"/>
  </r>
  <r>
    <x v="24"/>
    <n v="10.6"/>
    <x v="115"/>
    <x v="0"/>
    <x v="115"/>
  </r>
  <r>
    <x v="12"/>
    <n v="6.75"/>
    <x v="116"/>
    <x v="0"/>
    <x v="116"/>
  </r>
  <r>
    <x v="40"/>
    <n v="9.3800000000000008"/>
    <x v="117"/>
    <x v="0"/>
    <x v="117"/>
  </r>
  <r>
    <x v="22"/>
    <n v="8.65"/>
    <x v="118"/>
    <x v="1"/>
    <x v="118"/>
  </r>
  <r>
    <x v="40"/>
    <n v="6.74"/>
    <x v="119"/>
    <x v="0"/>
    <x v="119"/>
  </r>
  <r>
    <x v="10"/>
    <n v="9.6"/>
    <x v="120"/>
    <x v="1"/>
    <x v="120"/>
  </r>
  <r>
    <x v="29"/>
    <n v="12.2"/>
    <x v="121"/>
    <x v="0"/>
    <x v="121"/>
  </r>
  <r>
    <x v="45"/>
    <n v="8.9600000000000009"/>
    <x v="122"/>
    <x v="1"/>
    <x v="122"/>
  </r>
  <r>
    <x v="9"/>
    <n v="6.63"/>
    <x v="123"/>
    <x v="1"/>
    <x v="123"/>
  </r>
  <r>
    <x v="36"/>
    <n v="8.02"/>
    <x v="124"/>
    <x v="0"/>
    <x v="124"/>
  </r>
  <r>
    <x v="5"/>
    <n v="11.9"/>
    <x v="125"/>
    <x v="0"/>
    <x v="125"/>
  </r>
  <r>
    <x v="0"/>
    <n v="9.3000000000000007"/>
    <x v="126"/>
    <x v="0"/>
    <x v="126"/>
  </r>
  <r>
    <x v="39"/>
    <n v="9.15"/>
    <x v="127"/>
    <x v="0"/>
    <x v="127"/>
  </r>
  <r>
    <x v="21"/>
    <n v="9.99"/>
    <x v="128"/>
    <x v="1"/>
    <x v="128"/>
  </r>
  <r>
    <x v="23"/>
    <n v="9.9600000000000009"/>
    <x v="129"/>
    <x v="1"/>
    <x v="129"/>
  </r>
  <r>
    <x v="46"/>
    <n v="9.02"/>
    <x v="130"/>
    <x v="1"/>
    <x v="130"/>
  </r>
  <r>
    <x v="40"/>
    <n v="6.27"/>
    <x v="131"/>
    <x v="0"/>
    <x v="131"/>
  </r>
  <r>
    <x v="47"/>
    <n v="11.8"/>
    <x v="131"/>
    <x v="0"/>
    <x v="131"/>
  </r>
  <r>
    <x v="48"/>
    <n v="5.86"/>
    <x v="132"/>
    <x v="0"/>
    <x v="132"/>
  </r>
  <r>
    <x v="13"/>
    <n v="9.8699999999999992"/>
    <x v="133"/>
    <x v="0"/>
    <x v="133"/>
  </r>
  <r>
    <x v="49"/>
    <n v="9.0500000000000007"/>
    <x v="134"/>
    <x v="1"/>
    <x v="134"/>
  </r>
  <r>
    <x v="22"/>
    <n v="9.31"/>
    <x v="135"/>
    <x v="0"/>
    <x v="135"/>
  </r>
  <r>
    <x v="23"/>
    <n v="5.67"/>
    <x v="136"/>
    <x v="0"/>
    <x v="136"/>
  </r>
  <r>
    <x v="50"/>
    <n v="9.91"/>
    <x v="137"/>
    <x v="1"/>
    <x v="137"/>
  </r>
  <r>
    <x v="51"/>
    <n v="8.19"/>
    <x v="138"/>
    <x v="0"/>
    <x v="138"/>
  </r>
  <r>
    <x v="48"/>
    <n v="9.58"/>
    <x v="139"/>
    <x v="1"/>
    <x v="139"/>
  </r>
  <r>
    <x v="29"/>
    <n v="9.24"/>
    <x v="140"/>
    <x v="0"/>
    <x v="140"/>
  </r>
  <r>
    <x v="17"/>
    <n v="5.74"/>
    <x v="141"/>
    <x v="0"/>
    <x v="141"/>
  </r>
  <r>
    <x v="40"/>
    <n v="7.18"/>
    <x v="142"/>
    <x v="1"/>
    <x v="142"/>
  </r>
  <r>
    <x v="16"/>
    <n v="8.1"/>
    <x v="143"/>
    <x v="1"/>
    <x v="143"/>
  </r>
  <r>
    <x v="10"/>
    <n v="8.92"/>
    <x v="144"/>
    <x v="1"/>
    <x v="144"/>
  </r>
  <r>
    <x v="1"/>
    <n v="10.9"/>
    <x v="145"/>
    <x v="0"/>
    <x v="145"/>
  </r>
  <r>
    <x v="21"/>
    <n v="9.0299999999999994"/>
    <x v="146"/>
    <x v="1"/>
    <x v="146"/>
  </r>
  <r>
    <x v="44"/>
    <n v="8.24"/>
    <x v="147"/>
    <x v="1"/>
    <x v="147"/>
  </r>
  <r>
    <x v="22"/>
    <n v="6.56"/>
    <x v="148"/>
    <x v="0"/>
    <x v="148"/>
  </r>
  <r>
    <x v="22"/>
    <n v="9.2799999999999994"/>
    <x v="149"/>
    <x v="1"/>
    <x v="149"/>
  </r>
  <r>
    <x v="45"/>
    <n v="4.4400000000000004"/>
    <x v="150"/>
    <x v="1"/>
    <x v="150"/>
  </r>
  <r>
    <x v="16"/>
    <n v="9.1999999999999993"/>
    <x v="151"/>
    <x v="1"/>
    <x v="151"/>
  </r>
  <r>
    <x v="1"/>
    <n v="4.96"/>
    <x v="152"/>
    <x v="0"/>
    <x v="152"/>
  </r>
  <r>
    <x v="46"/>
    <n v="6.91"/>
    <x v="152"/>
    <x v="0"/>
    <x v="152"/>
  </r>
  <r>
    <x v="12"/>
    <n v="4.78"/>
    <x v="153"/>
    <x v="0"/>
    <x v="153"/>
  </r>
  <r>
    <x v="22"/>
    <n v="8.83"/>
    <x v="153"/>
    <x v="0"/>
    <x v="153"/>
  </r>
  <r>
    <x v="34"/>
    <n v="6.5"/>
    <x v="154"/>
    <x v="1"/>
    <x v="154"/>
  </r>
  <r>
    <x v="4"/>
    <n v="7.38"/>
    <x v="155"/>
    <x v="0"/>
    <x v="155"/>
  </r>
  <r>
    <x v="16"/>
    <n v="9.99"/>
    <x v="156"/>
    <x v="1"/>
    <x v="156"/>
  </r>
  <r>
    <x v="15"/>
    <n v="9.42"/>
    <x v="157"/>
    <x v="1"/>
    <x v="157"/>
  </r>
  <r>
    <x v="32"/>
    <n v="7.73"/>
    <x v="158"/>
    <x v="0"/>
    <x v="158"/>
  </r>
  <r>
    <x v="25"/>
    <n v="9.4700000000000006"/>
    <x v="159"/>
    <x v="0"/>
    <x v="159"/>
  </r>
  <r>
    <x v="16"/>
    <n v="7.54"/>
    <x v="160"/>
    <x v="1"/>
    <x v="160"/>
  </r>
  <r>
    <x v="27"/>
    <n v="11.8"/>
    <x v="161"/>
    <x v="0"/>
    <x v="161"/>
  </r>
  <r>
    <x v="3"/>
    <n v="6.86"/>
    <x v="162"/>
    <x v="1"/>
    <x v="162"/>
  </r>
  <r>
    <x v="25"/>
    <n v="8.14"/>
    <x v="163"/>
    <x v="0"/>
    <x v="163"/>
  </r>
  <r>
    <x v="9"/>
    <n v="5.58"/>
    <x v="164"/>
    <x v="0"/>
    <x v="164"/>
  </r>
  <r>
    <x v="12"/>
    <n v="6.68"/>
    <x v="165"/>
    <x v="0"/>
    <x v="165"/>
  </r>
  <r>
    <x v="17"/>
    <n v="9.23"/>
    <x v="166"/>
    <x v="1"/>
    <x v="166"/>
  </r>
  <r>
    <x v="10"/>
    <n v="9.73"/>
    <x v="167"/>
    <x v="1"/>
    <x v="167"/>
  </r>
  <r>
    <x v="9"/>
    <n v="5.05"/>
    <x v="168"/>
    <x v="0"/>
    <x v="168"/>
  </r>
  <r>
    <x v="47"/>
    <n v="8.7100000000000009"/>
    <x v="169"/>
    <x v="1"/>
    <x v="169"/>
  </r>
  <r>
    <x v="29"/>
    <n v="9.18"/>
    <x v="170"/>
    <x v="1"/>
    <x v="170"/>
  </r>
  <r>
    <x v="16"/>
    <n v="7.57"/>
    <x v="171"/>
    <x v="0"/>
    <x v="171"/>
  </r>
  <r>
    <x v="13"/>
    <n v="7.6"/>
    <x v="172"/>
    <x v="1"/>
    <x v="172"/>
  </r>
  <r>
    <x v="8"/>
    <n v="5.05"/>
    <x v="173"/>
    <x v="0"/>
    <x v="173"/>
  </r>
  <r>
    <x v="31"/>
    <n v="9.1999999999999993"/>
    <x v="174"/>
    <x v="0"/>
    <x v="174"/>
  </r>
  <r>
    <x v="46"/>
    <n v="6.32"/>
    <x v="175"/>
    <x v="0"/>
    <x v="175"/>
  </r>
  <r>
    <x v="48"/>
    <n v="6.78"/>
    <x v="176"/>
    <x v="0"/>
    <x v="176"/>
  </r>
  <r>
    <x v="21"/>
    <n v="8.8800000000000008"/>
    <x v="176"/>
    <x v="0"/>
    <x v="176"/>
  </r>
  <r>
    <x v="1"/>
    <n v="9.5299999999999994"/>
    <x v="177"/>
    <x v="0"/>
    <x v="177"/>
  </r>
  <r>
    <x v="9"/>
    <n v="8.74"/>
    <x v="178"/>
    <x v="0"/>
    <x v="178"/>
  </r>
  <r>
    <x v="52"/>
    <n v="8.69"/>
    <x v="179"/>
    <x v="0"/>
    <x v="179"/>
  </r>
  <r>
    <x v="16"/>
    <n v="8.39"/>
    <x v="180"/>
    <x v="1"/>
    <x v="180"/>
  </r>
  <r>
    <x v="6"/>
    <n v="9.19"/>
    <x v="181"/>
    <x v="1"/>
    <x v="181"/>
  </r>
  <r>
    <x v="49"/>
    <n v="8.98"/>
    <x v="182"/>
    <x v="1"/>
    <x v="182"/>
  </r>
  <r>
    <x v="20"/>
    <n v="9.1999999999999993"/>
    <x v="183"/>
    <x v="0"/>
    <x v="183"/>
  </r>
  <r>
    <x v="11"/>
    <n v="8.93"/>
    <x v="184"/>
    <x v="1"/>
    <x v="184"/>
  </r>
  <r>
    <x v="15"/>
    <n v="9.86"/>
    <x v="185"/>
    <x v="0"/>
    <x v="185"/>
  </r>
  <r>
    <x v="2"/>
    <n v="8.1199999999999992"/>
    <x v="186"/>
    <x v="1"/>
    <x v="186"/>
  </r>
  <r>
    <x v="37"/>
    <n v="5.73"/>
    <x v="187"/>
    <x v="0"/>
    <x v="187"/>
  </r>
  <r>
    <x v="13"/>
    <n v="6.93"/>
    <x v="188"/>
    <x v="0"/>
    <x v="188"/>
  </r>
  <r>
    <x v="49"/>
    <n v="7.33"/>
    <x v="189"/>
    <x v="0"/>
    <x v="189"/>
  </r>
  <r>
    <x v="0"/>
    <n v="7.81"/>
    <x v="190"/>
    <x v="0"/>
    <x v="190"/>
  </r>
  <r>
    <x v="7"/>
    <n v="6.16"/>
    <x v="191"/>
    <x v="1"/>
    <x v="191"/>
  </r>
  <r>
    <x v="1"/>
    <n v="9.59"/>
    <x v="192"/>
    <x v="1"/>
    <x v="192"/>
  </r>
  <r>
    <x v="53"/>
    <n v="5.61"/>
    <x v="193"/>
    <x v="0"/>
    <x v="193"/>
  </r>
  <r>
    <x v="6"/>
    <n v="8.6199999999999992"/>
    <x v="194"/>
    <x v="0"/>
    <x v="194"/>
  </r>
  <r>
    <x v="17"/>
    <n v="8.19"/>
    <x v="195"/>
    <x v="0"/>
    <x v="195"/>
  </r>
  <r>
    <x v="38"/>
    <n v="6.71"/>
    <x v="196"/>
    <x v="0"/>
    <x v="196"/>
  </r>
  <r>
    <x v="18"/>
    <n v="8.7200000000000006"/>
    <x v="197"/>
    <x v="1"/>
    <x v="197"/>
  </r>
  <r>
    <x v="44"/>
    <n v="6.16"/>
    <x v="198"/>
    <x v="1"/>
    <x v="198"/>
  </r>
  <r>
    <x v="3"/>
    <n v="8.34"/>
    <x v="199"/>
    <x v="0"/>
    <x v="199"/>
  </r>
  <r>
    <x v="49"/>
    <n v="9.33"/>
    <x v="200"/>
    <x v="0"/>
    <x v="200"/>
  </r>
  <r>
    <x v="24"/>
    <n v="5.5"/>
    <x v="201"/>
    <x v="0"/>
    <x v="201"/>
  </r>
  <r>
    <x v="54"/>
    <n v="5.34"/>
    <x v="202"/>
    <x v="1"/>
    <x v="202"/>
  </r>
  <r>
    <x v="38"/>
    <n v="7.68"/>
    <x v="203"/>
    <x v="1"/>
    <x v="203"/>
  </r>
  <r>
    <x v="34"/>
    <n v="6.81"/>
    <x v="204"/>
    <x v="0"/>
    <x v="204"/>
  </r>
  <r>
    <x v="16"/>
    <n v="4.0199999999999996"/>
    <x v="205"/>
    <x v="0"/>
    <x v="205"/>
  </r>
  <r>
    <x v="20"/>
    <n v="7.66"/>
    <x v="206"/>
    <x v="0"/>
    <x v="206"/>
  </r>
  <r>
    <x v="0"/>
    <n v="7.37"/>
    <x v="207"/>
    <x v="1"/>
    <x v="207"/>
  </r>
  <r>
    <x v="37"/>
    <n v="7.66"/>
    <x v="208"/>
    <x v="0"/>
    <x v="208"/>
  </r>
  <r>
    <x v="3"/>
    <n v="6.46"/>
    <x v="209"/>
    <x v="0"/>
    <x v="209"/>
  </r>
  <r>
    <x v="6"/>
    <n v="8.4700000000000006"/>
    <x v="210"/>
    <x v="1"/>
    <x v="210"/>
  </r>
  <r>
    <x v="5"/>
    <n v="9.15"/>
    <x v="211"/>
    <x v="1"/>
    <x v="211"/>
  </r>
  <r>
    <x v="0"/>
    <n v="8.6300000000000008"/>
    <x v="212"/>
    <x v="1"/>
    <x v="212"/>
  </r>
  <r>
    <x v="43"/>
    <n v="8.44"/>
    <x v="213"/>
    <x v="1"/>
    <x v="213"/>
  </r>
  <r>
    <x v="30"/>
    <n v="8.8000000000000007"/>
    <x v="214"/>
    <x v="1"/>
    <x v="214"/>
  </r>
  <r>
    <x v="22"/>
    <n v="8.6"/>
    <x v="215"/>
    <x v="1"/>
    <x v="215"/>
  </r>
  <r>
    <x v="22"/>
    <n v="9.02"/>
    <x v="216"/>
    <x v="0"/>
    <x v="216"/>
  </r>
  <r>
    <x v="12"/>
    <n v="9.0299999999999994"/>
    <x v="217"/>
    <x v="1"/>
    <x v="217"/>
  </r>
  <r>
    <x v="1"/>
    <n v="5.59"/>
    <x v="218"/>
    <x v="0"/>
    <x v="218"/>
  </r>
  <r>
    <x v="20"/>
    <n v="8.7200000000000006"/>
    <x v="219"/>
    <x v="1"/>
    <x v="219"/>
  </r>
  <r>
    <x v="43"/>
    <n v="9.07"/>
    <x v="220"/>
    <x v="1"/>
    <x v="220"/>
  </r>
  <r>
    <x v="44"/>
    <n v="7.88"/>
    <x v="221"/>
    <x v="0"/>
    <x v="221"/>
  </r>
  <r>
    <x v="7"/>
    <n v="4.78"/>
    <x v="222"/>
    <x v="0"/>
    <x v="222"/>
  </r>
  <r>
    <x v="38"/>
    <n v="6.73"/>
    <x v="223"/>
    <x v="0"/>
    <x v="223"/>
  </r>
  <r>
    <x v="55"/>
    <n v="9.06"/>
    <x v="224"/>
    <x v="0"/>
    <x v="224"/>
  </r>
  <r>
    <x v="24"/>
    <n v="9.2100000000000009"/>
    <x v="225"/>
    <x v="0"/>
    <x v="225"/>
  </r>
  <r>
    <x v="42"/>
    <n v="6.36"/>
    <x v="226"/>
    <x v="1"/>
    <x v="226"/>
  </r>
  <r>
    <x v="2"/>
    <n v="7.71"/>
    <x v="227"/>
    <x v="1"/>
    <x v="227"/>
  </r>
  <r>
    <x v="17"/>
    <n v="8.68"/>
    <x v="227"/>
    <x v="1"/>
    <x v="227"/>
  </r>
  <r>
    <x v="41"/>
    <n v="13"/>
    <x v="228"/>
    <x v="0"/>
    <x v="228"/>
  </r>
  <r>
    <x v="49"/>
    <n v="1.8"/>
    <x v="229"/>
    <x v="0"/>
    <x v="229"/>
  </r>
  <r>
    <x v="35"/>
    <n v="6.05"/>
    <x v="230"/>
    <x v="0"/>
    <x v="230"/>
  </r>
  <r>
    <x v="20"/>
    <n v="5.79"/>
    <x v="231"/>
    <x v="0"/>
    <x v="231"/>
  </r>
  <r>
    <x v="17"/>
    <n v="11.1"/>
    <x v="232"/>
    <x v="0"/>
    <x v="232"/>
  </r>
  <r>
    <x v="9"/>
    <n v="9.07"/>
    <x v="233"/>
    <x v="1"/>
    <x v="233"/>
  </r>
  <r>
    <x v="9"/>
    <n v="9.56"/>
    <x v="234"/>
    <x v="0"/>
    <x v="234"/>
  </r>
  <r>
    <x v="56"/>
    <n v="9.6199999999999992"/>
    <x v="235"/>
    <x v="0"/>
    <x v="235"/>
  </r>
  <r>
    <x v="57"/>
    <n v="6.51"/>
    <x v="236"/>
    <x v="0"/>
    <x v="236"/>
  </r>
  <r>
    <x v="30"/>
    <n v="6.64"/>
    <x v="237"/>
    <x v="0"/>
    <x v="237"/>
  </r>
  <r>
    <x v="45"/>
    <n v="5.36"/>
    <x v="238"/>
    <x v="1"/>
    <x v="238"/>
  </r>
  <r>
    <x v="19"/>
    <n v="6.03"/>
    <x v="239"/>
    <x v="0"/>
    <x v="239"/>
  </r>
  <r>
    <x v="8"/>
    <n v="9.25"/>
    <x v="240"/>
    <x v="1"/>
    <x v="240"/>
  </r>
  <r>
    <x v="37"/>
    <n v="8.52"/>
    <x v="241"/>
    <x v="0"/>
    <x v="241"/>
  </r>
  <r>
    <x v="24"/>
    <n v="8.6999999999999993"/>
    <x v="242"/>
    <x v="0"/>
    <x v="242"/>
  </r>
  <r>
    <x v="53"/>
    <n v="6.69"/>
    <x v="243"/>
    <x v="0"/>
    <x v="243"/>
  </r>
  <r>
    <x v="7"/>
    <n v="7.98"/>
    <x v="244"/>
    <x v="1"/>
    <x v="244"/>
  </r>
  <r>
    <x v="40"/>
    <n v="7.73"/>
    <x v="245"/>
    <x v="0"/>
    <x v="245"/>
  </r>
  <r>
    <x v="45"/>
    <n v="7.91"/>
    <x v="246"/>
    <x v="1"/>
    <x v="246"/>
  </r>
  <r>
    <x v="58"/>
    <n v="8.85"/>
    <x v="247"/>
    <x v="0"/>
    <x v="247"/>
  </r>
  <r>
    <x v="32"/>
    <n v="7.3"/>
    <x v="248"/>
    <x v="0"/>
    <x v="248"/>
  </r>
  <r>
    <x v="22"/>
    <n v="7.9"/>
    <x v="249"/>
    <x v="1"/>
    <x v="249"/>
  </r>
  <r>
    <x v="28"/>
    <n v="8.64"/>
    <x v="250"/>
    <x v="1"/>
    <x v="250"/>
  </r>
  <r>
    <x v="20"/>
    <n v="8.1"/>
    <x v="251"/>
    <x v="0"/>
    <x v="251"/>
  </r>
  <r>
    <x v="8"/>
    <n v="6.96"/>
    <x v="252"/>
    <x v="1"/>
    <x v="252"/>
  </r>
  <r>
    <x v="1"/>
    <n v="4.62"/>
    <x v="253"/>
    <x v="0"/>
    <x v="253"/>
  </r>
  <r>
    <x v="0"/>
    <n v="6.21"/>
    <x v="254"/>
    <x v="1"/>
    <x v="254"/>
  </r>
  <r>
    <x v="45"/>
    <n v="8.17"/>
    <x v="255"/>
    <x v="0"/>
    <x v="255"/>
  </r>
  <r>
    <x v="48"/>
    <n v="6.09"/>
    <x v="256"/>
    <x v="1"/>
    <x v="256"/>
  </r>
  <r>
    <x v="58"/>
    <n v="9.18"/>
    <x v="257"/>
    <x v="0"/>
    <x v="257"/>
  </r>
  <r>
    <x v="28"/>
    <n v="4.93"/>
    <x v="258"/>
    <x v="1"/>
    <x v="258"/>
  </r>
  <r>
    <x v="22"/>
    <n v="5.65"/>
    <x v="259"/>
    <x v="0"/>
    <x v="259"/>
  </r>
  <r>
    <x v="5"/>
    <n v="9.99"/>
    <x v="260"/>
    <x v="0"/>
    <x v="260"/>
  </r>
  <r>
    <x v="39"/>
    <n v="7.27"/>
    <x v="261"/>
    <x v="0"/>
    <x v="261"/>
  </r>
  <r>
    <x v="42"/>
    <n v="4.5"/>
    <x v="262"/>
    <x v="0"/>
    <x v="262"/>
  </r>
  <r>
    <x v="32"/>
    <n v="6.57"/>
    <x v="263"/>
    <x v="1"/>
    <x v="263"/>
  </r>
  <r>
    <x v="55"/>
    <n v="6.81"/>
    <x v="264"/>
    <x v="1"/>
    <x v="264"/>
  </r>
  <r>
    <x v="29"/>
    <n v="6.72"/>
    <x v="265"/>
    <x v="1"/>
    <x v="265"/>
  </r>
  <r>
    <x v="36"/>
    <n v="11.6"/>
    <x v="266"/>
    <x v="0"/>
    <x v="266"/>
  </r>
  <r>
    <x v="29"/>
    <n v="8.44"/>
    <x v="267"/>
    <x v="0"/>
    <x v="267"/>
  </r>
  <r>
    <x v="12"/>
    <n v="8.31"/>
    <x v="268"/>
    <x v="1"/>
    <x v="268"/>
  </r>
  <r>
    <x v="12"/>
    <n v="7.84"/>
    <x v="269"/>
    <x v="0"/>
    <x v="269"/>
  </r>
  <r>
    <x v="49"/>
    <n v="7.52"/>
    <x v="270"/>
    <x v="1"/>
    <x v="270"/>
  </r>
  <r>
    <x v="58"/>
    <n v="9.27"/>
    <x v="271"/>
    <x v="1"/>
    <x v="271"/>
  </r>
  <r>
    <x v="5"/>
    <n v="6.49"/>
    <x v="272"/>
    <x v="0"/>
    <x v="272"/>
  </r>
  <r>
    <x v="10"/>
    <n v="6.38"/>
    <x v="273"/>
    <x v="1"/>
    <x v="273"/>
  </r>
  <r>
    <x v="24"/>
    <n v="6.96"/>
    <x v="274"/>
    <x v="1"/>
    <x v="274"/>
  </r>
  <r>
    <x v="15"/>
    <n v="5.12"/>
    <x v="275"/>
    <x v="1"/>
    <x v="275"/>
  </r>
  <r>
    <x v="10"/>
    <n v="7.3"/>
    <x v="276"/>
    <x v="0"/>
    <x v="276"/>
  </r>
  <r>
    <x v="31"/>
    <n v="9.66"/>
    <x v="277"/>
    <x v="0"/>
    <x v="277"/>
  </r>
  <r>
    <x v="6"/>
    <n v="11"/>
    <x v="278"/>
    <x v="0"/>
    <x v="278"/>
  </r>
  <r>
    <x v="22"/>
    <n v="5.61"/>
    <x v="279"/>
    <x v="0"/>
    <x v="279"/>
  </r>
  <r>
    <x v="12"/>
    <n v="5.88"/>
    <x v="280"/>
    <x v="0"/>
    <x v="280"/>
  </r>
  <r>
    <x v="0"/>
    <n v="8.14"/>
    <x v="281"/>
    <x v="1"/>
    <x v="281"/>
  </r>
  <r>
    <x v="5"/>
    <n v="2.8"/>
    <x v="282"/>
    <x v="0"/>
    <x v="282"/>
  </r>
  <r>
    <x v="39"/>
    <n v="6.65"/>
    <x v="283"/>
    <x v="0"/>
    <x v="283"/>
  </r>
  <r>
    <x v="36"/>
    <n v="7.27"/>
    <x v="284"/>
    <x v="0"/>
    <x v="284"/>
  </r>
  <r>
    <x v="37"/>
    <n v="7.28"/>
    <x v="285"/>
    <x v="1"/>
    <x v="285"/>
  </r>
  <r>
    <x v="49"/>
    <n v="4.78"/>
    <x v="286"/>
    <x v="1"/>
    <x v="286"/>
  </r>
  <r>
    <x v="3"/>
    <n v="7.45"/>
    <x v="287"/>
    <x v="0"/>
    <x v="287"/>
  </r>
  <r>
    <x v="22"/>
    <n v="9.91"/>
    <x v="288"/>
    <x v="1"/>
    <x v="288"/>
  </r>
  <r>
    <x v="7"/>
    <n v="4.88"/>
    <x v="289"/>
    <x v="0"/>
    <x v="289"/>
  </r>
  <r>
    <x v="22"/>
    <n v="6.85"/>
    <x v="290"/>
    <x v="0"/>
    <x v="290"/>
  </r>
  <r>
    <x v="11"/>
    <n v="8.02"/>
    <x v="291"/>
    <x v="1"/>
    <x v="291"/>
  </r>
  <r>
    <x v="21"/>
    <n v="8.49"/>
    <x v="292"/>
    <x v="1"/>
    <x v="292"/>
  </r>
  <r>
    <x v="4"/>
    <n v="8"/>
    <x v="293"/>
    <x v="0"/>
    <x v="293"/>
  </r>
  <r>
    <x v="42"/>
    <n v="9.2100000000000009"/>
    <x v="294"/>
    <x v="1"/>
    <x v="294"/>
  </r>
  <r>
    <x v="0"/>
    <n v="7.31"/>
    <x v="295"/>
    <x v="1"/>
    <x v="295"/>
  </r>
  <r>
    <x v="25"/>
    <n v="7.22"/>
    <x v="296"/>
    <x v="1"/>
    <x v="296"/>
  </r>
  <r>
    <x v="37"/>
    <n v="6.8"/>
    <x v="297"/>
    <x v="0"/>
    <x v="297"/>
  </r>
  <r>
    <x v="32"/>
    <n v="8.7799999999999994"/>
    <x v="298"/>
    <x v="0"/>
    <x v="298"/>
  </r>
  <r>
    <x v="48"/>
    <n v="4.6900000000000004"/>
    <x v="299"/>
    <x v="0"/>
    <x v="299"/>
  </r>
  <r>
    <x v="35"/>
    <n v="7.93"/>
    <x v="300"/>
    <x v="0"/>
    <x v="300"/>
  </r>
  <r>
    <x v="7"/>
    <n v="6.28"/>
    <x v="301"/>
    <x v="0"/>
    <x v="301"/>
  </r>
  <r>
    <x v="44"/>
    <n v="5.67"/>
    <x v="302"/>
    <x v="0"/>
    <x v="302"/>
  </r>
  <r>
    <x v="48"/>
    <n v="5.53"/>
    <x v="303"/>
    <x v="0"/>
    <x v="303"/>
  </r>
  <r>
    <x v="30"/>
    <n v="9.44"/>
    <x v="304"/>
    <x v="0"/>
    <x v="304"/>
  </r>
  <r>
    <x v="43"/>
    <n v="6.96"/>
    <x v="305"/>
    <x v="0"/>
    <x v="305"/>
  </r>
  <r>
    <x v="58"/>
    <n v="9.01"/>
    <x v="306"/>
    <x v="1"/>
    <x v="306"/>
  </r>
  <r>
    <x v="35"/>
    <n v="7.7"/>
    <x v="307"/>
    <x v="0"/>
    <x v="307"/>
  </r>
  <r>
    <x v="29"/>
    <n v="4.1500000000000004"/>
    <x v="308"/>
    <x v="1"/>
    <x v="308"/>
  </r>
  <r>
    <x v="16"/>
    <n v="6.54"/>
    <x v="309"/>
    <x v="0"/>
    <x v="309"/>
  </r>
  <r>
    <x v="37"/>
    <n v="8.2200000000000006"/>
    <x v="310"/>
    <x v="1"/>
    <x v="310"/>
  </r>
  <r>
    <x v="10"/>
    <n v="9"/>
    <x v="311"/>
    <x v="0"/>
    <x v="311"/>
  </r>
  <r>
    <x v="46"/>
    <n v="4.8499999999999996"/>
    <x v="312"/>
    <x v="0"/>
    <x v="312"/>
  </r>
  <r>
    <x v="29"/>
    <n v="6.45"/>
    <x v="313"/>
    <x v="1"/>
    <x v="313"/>
  </r>
  <r>
    <x v="35"/>
    <n v="9.17"/>
    <x v="314"/>
    <x v="0"/>
    <x v="314"/>
  </r>
  <r>
    <x v="22"/>
    <n v="8.6199999999999992"/>
    <x v="315"/>
    <x v="0"/>
    <x v="315"/>
  </r>
  <r>
    <x v="53"/>
    <n v="6.76"/>
    <x v="316"/>
    <x v="1"/>
    <x v="316"/>
  </r>
  <r>
    <x v="46"/>
    <n v="6.27"/>
    <x v="317"/>
    <x v="0"/>
    <x v="317"/>
  </r>
  <r>
    <x v="7"/>
    <n v="6.25"/>
    <x v="318"/>
    <x v="0"/>
    <x v="318"/>
  </r>
  <r>
    <x v="22"/>
    <n v="5.18"/>
    <x v="319"/>
    <x v="0"/>
    <x v="319"/>
  </r>
  <r>
    <x v="22"/>
    <n v="4"/>
    <x v="320"/>
    <x v="0"/>
    <x v="320"/>
  </r>
  <r>
    <x v="11"/>
    <n v="3"/>
    <x v="321"/>
    <x v="0"/>
    <x v="321"/>
  </r>
  <r>
    <x v="21"/>
    <n v="6.97"/>
    <x v="322"/>
    <x v="1"/>
    <x v="322"/>
  </r>
  <r>
    <x v="40"/>
    <n v="6.28"/>
    <x v="323"/>
    <x v="1"/>
    <x v="323"/>
  </r>
  <r>
    <x v="28"/>
    <n v="5.59"/>
    <x v="324"/>
    <x v="0"/>
    <x v="324"/>
  </r>
  <r>
    <x v="27"/>
    <n v="9.3000000000000007"/>
    <x v="325"/>
    <x v="0"/>
    <x v="325"/>
  </r>
  <r>
    <x v="12"/>
    <n v="5.0999999999999996"/>
    <x v="326"/>
    <x v="0"/>
    <x v="326"/>
  </r>
  <r>
    <x v="32"/>
    <n v="7.59"/>
    <x v="327"/>
    <x v="1"/>
    <x v="327"/>
  </r>
  <r>
    <x v="38"/>
    <n v="7.67"/>
    <x v="327"/>
    <x v="0"/>
    <x v="327"/>
  </r>
  <r>
    <x v="0"/>
    <n v="4.76"/>
    <x v="328"/>
    <x v="1"/>
    <x v="328"/>
  </r>
  <r>
    <x v="37"/>
    <n v="4.24"/>
    <x v="329"/>
    <x v="0"/>
    <x v="329"/>
  </r>
  <r>
    <x v="9"/>
    <n v="7.37"/>
    <x v="330"/>
    <x v="1"/>
    <x v="330"/>
  </r>
  <r>
    <x v="39"/>
    <n v="9.58"/>
    <x v="331"/>
    <x v="0"/>
    <x v="331"/>
  </r>
  <r>
    <x v="39"/>
    <n v="9.5299999999999994"/>
    <x v="332"/>
    <x v="0"/>
    <x v="332"/>
  </r>
  <r>
    <x v="22"/>
    <n v="4.67"/>
    <x v="333"/>
    <x v="1"/>
    <x v="333"/>
  </r>
  <r>
    <x v="36"/>
    <n v="6.69"/>
    <x v="334"/>
    <x v="1"/>
    <x v="334"/>
  </r>
  <r>
    <x v="10"/>
    <n v="5.87"/>
    <x v="335"/>
    <x v="1"/>
    <x v="335"/>
  </r>
  <r>
    <x v="12"/>
    <n v="7.69"/>
    <x v="336"/>
    <x v="0"/>
    <x v="336"/>
  </r>
  <r>
    <x v="45"/>
    <n v="6.99"/>
    <x v="337"/>
    <x v="0"/>
    <x v="337"/>
  </r>
  <r>
    <x v="45"/>
    <n v="7.45"/>
    <x v="338"/>
    <x v="1"/>
    <x v="338"/>
  </r>
  <r>
    <x v="12"/>
    <n v="7.31"/>
    <x v="339"/>
    <x v="1"/>
    <x v="339"/>
  </r>
  <r>
    <x v="46"/>
    <n v="12.2"/>
    <x v="340"/>
    <x v="0"/>
    <x v="340"/>
  </r>
  <r>
    <x v="10"/>
    <n v="7.33"/>
    <x v="341"/>
    <x v="1"/>
    <x v="341"/>
  </r>
  <r>
    <x v="21"/>
    <n v="5.98"/>
    <x v="342"/>
    <x v="0"/>
    <x v="342"/>
  </r>
  <r>
    <x v="14"/>
    <n v="7.34"/>
    <x v="343"/>
    <x v="1"/>
    <x v="343"/>
  </r>
  <r>
    <x v="36"/>
    <n v="7.21"/>
    <x v="344"/>
    <x v="1"/>
    <x v="344"/>
  </r>
  <r>
    <x v="15"/>
    <n v="5.83"/>
    <x v="345"/>
    <x v="0"/>
    <x v="345"/>
  </r>
  <r>
    <x v="7"/>
    <n v="8.39"/>
    <x v="346"/>
    <x v="1"/>
    <x v="346"/>
  </r>
  <r>
    <x v="45"/>
    <n v="5.66"/>
    <x v="347"/>
    <x v="0"/>
    <x v="347"/>
  </r>
  <r>
    <x v="8"/>
    <n v="11.4"/>
    <x v="348"/>
    <x v="0"/>
    <x v="348"/>
  </r>
  <r>
    <x v="5"/>
    <n v="5.91"/>
    <x v="349"/>
    <x v="1"/>
    <x v="349"/>
  </r>
  <r>
    <x v="10"/>
    <n v="6.34"/>
    <x v="350"/>
    <x v="0"/>
    <x v="350"/>
  </r>
  <r>
    <x v="11"/>
    <n v="7.98"/>
    <x v="351"/>
    <x v="0"/>
    <x v="351"/>
  </r>
  <r>
    <x v="9"/>
    <n v="7.46"/>
    <x v="352"/>
    <x v="0"/>
    <x v="352"/>
  </r>
  <r>
    <x v="31"/>
    <n v="9.25"/>
    <x v="353"/>
    <x v="0"/>
    <x v="353"/>
  </r>
  <r>
    <x v="59"/>
    <n v="6.65"/>
    <x v="354"/>
    <x v="0"/>
    <x v="354"/>
  </r>
  <r>
    <x v="28"/>
    <n v="6.82"/>
    <x v="355"/>
    <x v="1"/>
    <x v="355"/>
  </r>
  <r>
    <x v="13"/>
    <n v="8.86"/>
    <x v="356"/>
    <x v="1"/>
    <x v="356"/>
  </r>
  <r>
    <x v="60"/>
    <n v="6.17"/>
    <x v="357"/>
    <x v="1"/>
    <x v="357"/>
  </r>
  <r>
    <x v="5"/>
    <n v="6.66"/>
    <x v="358"/>
    <x v="0"/>
    <x v="358"/>
  </r>
  <r>
    <x v="35"/>
    <n v="6.06"/>
    <x v="359"/>
    <x v="1"/>
    <x v="359"/>
  </r>
  <r>
    <x v="35"/>
    <n v="9.66"/>
    <x v="360"/>
    <x v="0"/>
    <x v="360"/>
  </r>
  <r>
    <x v="20"/>
    <n v="6.09"/>
    <x v="361"/>
    <x v="0"/>
    <x v="361"/>
  </r>
  <r>
    <x v="24"/>
    <n v="9.27"/>
    <x v="362"/>
    <x v="0"/>
    <x v="362"/>
  </r>
  <r>
    <x v="39"/>
    <n v="7.87"/>
    <x v="363"/>
    <x v="0"/>
    <x v="363"/>
  </r>
  <r>
    <x v="46"/>
    <n v="5.96"/>
    <x v="364"/>
    <x v="1"/>
    <x v="364"/>
  </r>
  <r>
    <x v="44"/>
    <n v="7.11"/>
    <x v="365"/>
    <x v="1"/>
    <x v="365"/>
  </r>
  <r>
    <x v="45"/>
    <n v="6.43"/>
    <x v="366"/>
    <x v="1"/>
    <x v="366"/>
  </r>
  <r>
    <x v="4"/>
    <n v="6.24"/>
    <x v="367"/>
    <x v="0"/>
    <x v="367"/>
  </r>
  <r>
    <x v="6"/>
    <n v="5.91"/>
    <x v="368"/>
    <x v="0"/>
    <x v="368"/>
  </r>
  <r>
    <x v="37"/>
    <n v="6.85"/>
    <x v="369"/>
    <x v="0"/>
    <x v="369"/>
  </r>
  <r>
    <x v="13"/>
    <n v="7.58"/>
    <x v="370"/>
    <x v="0"/>
    <x v="370"/>
  </r>
  <r>
    <x v="8"/>
    <n v="6.63"/>
    <x v="371"/>
    <x v="1"/>
    <x v="371"/>
  </r>
  <r>
    <x v="38"/>
    <n v="7.52"/>
    <x v="371"/>
    <x v="1"/>
    <x v="371"/>
  </r>
  <r>
    <x v="1"/>
    <n v="6.65"/>
    <x v="372"/>
    <x v="0"/>
    <x v="372"/>
  </r>
  <r>
    <x v="47"/>
    <n v="6.06"/>
    <x v="373"/>
    <x v="0"/>
    <x v="373"/>
  </r>
  <r>
    <x v="8"/>
    <n v="8.41"/>
    <x v="374"/>
    <x v="0"/>
    <x v="374"/>
  </r>
  <r>
    <x v="6"/>
    <n v="6.99"/>
    <x v="375"/>
    <x v="1"/>
    <x v="375"/>
  </r>
  <r>
    <x v="45"/>
    <n v="7.75"/>
    <x v="376"/>
    <x v="1"/>
    <x v="376"/>
  </r>
  <r>
    <x v="8"/>
    <n v="7.7"/>
    <x v="377"/>
    <x v="1"/>
    <x v="377"/>
  </r>
  <r>
    <x v="0"/>
    <n v="6.23"/>
    <x v="378"/>
    <x v="1"/>
    <x v="378"/>
  </r>
  <r>
    <x v="9"/>
    <n v="8.08"/>
    <x v="379"/>
    <x v="0"/>
    <x v="379"/>
  </r>
  <r>
    <x v="16"/>
    <n v="7.31"/>
    <x v="380"/>
    <x v="0"/>
    <x v="380"/>
  </r>
  <r>
    <x v="31"/>
    <n v="4.87"/>
    <x v="381"/>
    <x v="0"/>
    <x v="381"/>
  </r>
  <r>
    <x v="27"/>
    <n v="8.9700000000000006"/>
    <x v="382"/>
    <x v="0"/>
    <x v="382"/>
  </r>
  <r>
    <x v="12"/>
    <n v="5.93"/>
    <x v="383"/>
    <x v="1"/>
    <x v="383"/>
  </r>
  <r>
    <x v="5"/>
    <n v="9.65"/>
    <x v="383"/>
    <x v="1"/>
    <x v="383"/>
  </r>
  <r>
    <x v="1"/>
    <n v="7.42"/>
    <x v="384"/>
    <x v="0"/>
    <x v="384"/>
  </r>
  <r>
    <x v="61"/>
    <n v="5.36"/>
    <x v="385"/>
    <x v="1"/>
    <x v="385"/>
  </r>
  <r>
    <x v="55"/>
    <n v="7.93"/>
    <x v="386"/>
    <x v="0"/>
    <x v="386"/>
  </r>
  <r>
    <x v="25"/>
    <n v="5.45"/>
    <x v="387"/>
    <x v="0"/>
    <x v="387"/>
  </r>
  <r>
    <x v="13"/>
    <n v="7.97"/>
    <x v="388"/>
    <x v="1"/>
    <x v="388"/>
  </r>
  <r>
    <x v="31"/>
    <n v="4.22"/>
    <x v="389"/>
    <x v="0"/>
    <x v="389"/>
  </r>
  <r>
    <x v="35"/>
    <n v="6.91"/>
    <x v="389"/>
    <x v="0"/>
    <x v="389"/>
  </r>
  <r>
    <x v="29"/>
    <n v="8.61"/>
    <x v="390"/>
    <x v="1"/>
    <x v="390"/>
  </r>
  <r>
    <x v="46"/>
    <n v="6.59"/>
    <x v="391"/>
    <x v="1"/>
    <x v="391"/>
  </r>
  <r>
    <x v="16"/>
    <n v="6.06"/>
    <x v="392"/>
    <x v="1"/>
    <x v="392"/>
  </r>
  <r>
    <x v="40"/>
    <n v="5.15"/>
    <x v="393"/>
    <x v="1"/>
    <x v="393"/>
  </r>
  <r>
    <x v="16"/>
    <n v="4.3"/>
    <x v="394"/>
    <x v="1"/>
    <x v="394"/>
  </r>
  <r>
    <x v="51"/>
    <n v="6.64"/>
    <x v="394"/>
    <x v="1"/>
    <x v="394"/>
  </r>
  <r>
    <x v="55"/>
    <n v="5.45"/>
    <x v="395"/>
    <x v="1"/>
    <x v="395"/>
  </r>
  <r>
    <x v="10"/>
    <n v="7.46"/>
    <x v="396"/>
    <x v="0"/>
    <x v="396"/>
  </r>
  <r>
    <x v="49"/>
    <n v="6.34"/>
    <x v="397"/>
    <x v="1"/>
    <x v="397"/>
  </r>
  <r>
    <x v="14"/>
    <n v="6.82"/>
    <x v="398"/>
    <x v="1"/>
    <x v="398"/>
  </r>
  <r>
    <x v="0"/>
    <n v="5.31"/>
    <x v="399"/>
    <x v="0"/>
    <x v="399"/>
  </r>
  <r>
    <x v="13"/>
    <n v="7.21"/>
    <x v="400"/>
    <x v="1"/>
    <x v="400"/>
  </r>
  <r>
    <x v="35"/>
    <n v="9.1"/>
    <x v="401"/>
    <x v="0"/>
    <x v="401"/>
  </r>
  <r>
    <x v="34"/>
    <n v="2.2999999999999998"/>
    <x v="402"/>
    <x v="0"/>
    <x v="402"/>
  </r>
  <r>
    <x v="34"/>
    <n v="3.5"/>
    <x v="403"/>
    <x v="0"/>
    <x v="403"/>
  </r>
  <r>
    <x v="0"/>
    <n v="6.82"/>
    <x v="404"/>
    <x v="0"/>
    <x v="404"/>
  </r>
  <r>
    <x v="14"/>
    <n v="9.8800000000000008"/>
    <x v="405"/>
    <x v="0"/>
    <x v="405"/>
  </r>
  <r>
    <x v="44"/>
    <n v="10.6"/>
    <x v="406"/>
    <x v="0"/>
    <x v="406"/>
  </r>
  <r>
    <x v="13"/>
    <n v="5.34"/>
    <x v="407"/>
    <x v="1"/>
    <x v="407"/>
  </r>
  <r>
    <x v="37"/>
    <n v="4.04"/>
    <x v="408"/>
    <x v="0"/>
    <x v="408"/>
  </r>
  <r>
    <x v="19"/>
    <n v="4.6399999999999997"/>
    <x v="408"/>
    <x v="1"/>
    <x v="408"/>
  </r>
  <r>
    <x v="46"/>
    <n v="5.88"/>
    <x v="409"/>
    <x v="0"/>
    <x v="409"/>
  </r>
  <r>
    <x v="14"/>
    <n v="7.31"/>
    <x v="410"/>
    <x v="0"/>
    <x v="410"/>
  </r>
  <r>
    <x v="28"/>
    <n v="5.15"/>
    <x v="411"/>
    <x v="1"/>
    <x v="411"/>
  </r>
  <r>
    <x v="2"/>
    <n v="6.22"/>
    <x v="412"/>
    <x v="1"/>
    <x v="412"/>
  </r>
  <r>
    <x v="2"/>
    <n v="5.63"/>
    <x v="413"/>
    <x v="1"/>
    <x v="413"/>
  </r>
  <r>
    <x v="36"/>
    <n v="9.75"/>
    <x v="414"/>
    <x v="1"/>
    <x v="414"/>
  </r>
  <r>
    <x v="14"/>
    <n v="4.75"/>
    <x v="415"/>
    <x v="1"/>
    <x v="415"/>
  </r>
  <r>
    <x v="19"/>
    <n v="5.0999999999999996"/>
    <x v="415"/>
    <x v="0"/>
    <x v="415"/>
  </r>
  <r>
    <x v="21"/>
    <n v="5.86"/>
    <x v="416"/>
    <x v="0"/>
    <x v="416"/>
  </r>
  <r>
    <x v="43"/>
    <n v="3.9"/>
    <x v="417"/>
    <x v="0"/>
    <x v="417"/>
  </r>
  <r>
    <x v="10"/>
    <n v="6.55"/>
    <x v="418"/>
    <x v="1"/>
    <x v="418"/>
  </r>
  <r>
    <x v="14"/>
    <n v="6.92"/>
    <x v="419"/>
    <x v="0"/>
    <x v="419"/>
  </r>
  <r>
    <x v="34"/>
    <n v="4.3"/>
    <x v="420"/>
    <x v="1"/>
    <x v="420"/>
  </r>
  <r>
    <x v="60"/>
    <n v="5.58"/>
    <x v="421"/>
    <x v="0"/>
    <x v="421"/>
  </r>
  <r>
    <x v="46"/>
    <n v="8.2899999999999991"/>
    <x v="422"/>
    <x v="0"/>
    <x v="422"/>
  </r>
  <r>
    <x v="51"/>
    <n v="6.33"/>
    <x v="423"/>
    <x v="1"/>
    <x v="423"/>
  </r>
  <r>
    <x v="34"/>
    <n v="9.9600000000000009"/>
    <x v="424"/>
    <x v="1"/>
    <x v="424"/>
  </r>
  <r>
    <x v="28"/>
    <n v="5.38"/>
    <x v="425"/>
    <x v="1"/>
    <x v="425"/>
  </r>
  <r>
    <x v="32"/>
    <n v="3.8"/>
    <x v="426"/>
    <x v="0"/>
    <x v="426"/>
  </r>
  <r>
    <x v="27"/>
    <n v="4.34"/>
    <x v="427"/>
    <x v="1"/>
    <x v="427"/>
  </r>
  <r>
    <x v="22"/>
    <n v="6.46"/>
    <x v="427"/>
    <x v="0"/>
    <x v="427"/>
  </r>
  <r>
    <x v="6"/>
    <n v="7.6"/>
    <x v="428"/>
    <x v="1"/>
    <x v="428"/>
  </r>
  <r>
    <x v="34"/>
    <n v="5.67"/>
    <x v="429"/>
    <x v="1"/>
    <x v="429"/>
  </r>
  <r>
    <x v="31"/>
    <n v="6.67"/>
    <x v="430"/>
    <x v="0"/>
    <x v="430"/>
  </r>
  <r>
    <x v="58"/>
    <n v="4.68"/>
    <x v="431"/>
    <x v="1"/>
    <x v="431"/>
  </r>
  <r>
    <x v="10"/>
    <n v="8.94"/>
    <x v="432"/>
    <x v="0"/>
    <x v="432"/>
  </r>
  <r>
    <x v="9"/>
    <n v="4.68"/>
    <x v="433"/>
    <x v="1"/>
    <x v="433"/>
  </r>
  <r>
    <x v="4"/>
    <n v="7.48"/>
    <x v="434"/>
    <x v="0"/>
    <x v="434"/>
  </r>
  <r>
    <x v="11"/>
    <n v="5.47"/>
    <x v="435"/>
    <x v="1"/>
    <x v="435"/>
  </r>
  <r>
    <x v="28"/>
    <n v="6.12"/>
    <x v="436"/>
    <x v="1"/>
    <x v="436"/>
  </r>
  <r>
    <x v="7"/>
    <n v="5.97"/>
    <x v="437"/>
    <x v="0"/>
    <x v="437"/>
  </r>
  <r>
    <x v="27"/>
    <n v="4.1500000000000004"/>
    <x v="438"/>
    <x v="1"/>
    <x v="438"/>
  </r>
  <r>
    <x v="20"/>
    <n v="5.7"/>
    <x v="439"/>
    <x v="1"/>
    <x v="439"/>
  </r>
  <r>
    <x v="29"/>
    <n v="6.15"/>
    <x v="440"/>
    <x v="0"/>
    <x v="440"/>
  </r>
  <r>
    <x v="17"/>
    <n v="7.05"/>
    <x v="441"/>
    <x v="1"/>
    <x v="441"/>
  </r>
  <r>
    <x v="16"/>
    <n v="5.66"/>
    <x v="442"/>
    <x v="1"/>
    <x v="442"/>
  </r>
  <r>
    <x v="14"/>
    <n v="3.6"/>
    <x v="443"/>
    <x v="0"/>
    <x v="443"/>
  </r>
  <r>
    <x v="4"/>
    <n v="7.19"/>
    <x v="444"/>
    <x v="0"/>
    <x v="444"/>
  </r>
  <r>
    <x v="5"/>
    <n v="5.22"/>
    <x v="445"/>
    <x v="1"/>
    <x v="445"/>
  </r>
  <r>
    <x v="11"/>
    <n v="7.07"/>
    <x v="446"/>
    <x v="0"/>
    <x v="446"/>
  </r>
  <r>
    <x v="7"/>
    <n v="2.4"/>
    <x v="447"/>
    <x v="0"/>
    <x v="447"/>
  </r>
  <r>
    <x v="36"/>
    <n v="6.96"/>
    <x v="448"/>
    <x v="0"/>
    <x v="448"/>
  </r>
  <r>
    <x v="45"/>
    <n v="9.5"/>
    <x v="449"/>
    <x v="0"/>
    <x v="449"/>
  </r>
  <r>
    <x v="53"/>
    <n v="7.37"/>
    <x v="450"/>
    <x v="0"/>
    <x v="450"/>
  </r>
  <r>
    <x v="22"/>
    <n v="4.05"/>
    <x v="451"/>
    <x v="1"/>
    <x v="451"/>
  </r>
  <r>
    <x v="34"/>
    <n v="6.7"/>
    <x v="451"/>
    <x v="0"/>
    <x v="451"/>
  </r>
  <r>
    <x v="9"/>
    <n v="6.33"/>
    <x v="452"/>
    <x v="0"/>
    <x v="452"/>
  </r>
  <r>
    <x v="51"/>
    <n v="5.46"/>
    <x v="453"/>
    <x v="1"/>
    <x v="453"/>
  </r>
  <r>
    <x v="34"/>
    <n v="5.68"/>
    <x v="454"/>
    <x v="0"/>
    <x v="454"/>
  </r>
  <r>
    <x v="1"/>
    <n v="8.98"/>
    <x v="455"/>
    <x v="0"/>
    <x v="455"/>
  </r>
  <r>
    <x v="0"/>
    <n v="8.91"/>
    <x v="456"/>
    <x v="0"/>
    <x v="456"/>
  </r>
  <r>
    <x v="32"/>
    <n v="5.0999999999999996"/>
    <x v="457"/>
    <x v="1"/>
    <x v="457"/>
  </r>
  <r>
    <x v="38"/>
    <n v="5.61"/>
    <x v="457"/>
    <x v="0"/>
    <x v="457"/>
  </r>
  <r>
    <x v="2"/>
    <n v="5.44"/>
    <x v="458"/>
    <x v="0"/>
    <x v="458"/>
  </r>
  <r>
    <x v="55"/>
    <n v="4.5599999999999996"/>
    <x v="459"/>
    <x v="1"/>
    <x v="459"/>
  </r>
  <r>
    <x v="17"/>
    <n v="5.14"/>
    <x v="460"/>
    <x v="1"/>
    <x v="460"/>
  </r>
  <r>
    <x v="13"/>
    <n v="5.29"/>
    <x v="461"/>
    <x v="1"/>
    <x v="461"/>
  </r>
  <r>
    <x v="21"/>
    <n v="5.77"/>
    <x v="462"/>
    <x v="1"/>
    <x v="462"/>
  </r>
  <r>
    <x v="11"/>
    <n v="5.38"/>
    <x v="463"/>
    <x v="1"/>
    <x v="463"/>
  </r>
  <r>
    <x v="29"/>
    <n v="8.27"/>
    <x v="463"/>
    <x v="0"/>
    <x v="463"/>
  </r>
  <r>
    <x v="9"/>
    <n v="4.88"/>
    <x v="464"/>
    <x v="1"/>
    <x v="464"/>
  </r>
  <r>
    <x v="62"/>
    <n v="4.6900000000000004"/>
    <x v="465"/>
    <x v="1"/>
    <x v="465"/>
  </r>
  <r>
    <x v="31"/>
    <n v="5.64"/>
    <x v="466"/>
    <x v="1"/>
    <x v="466"/>
  </r>
  <r>
    <x v="43"/>
    <n v="4.5199999999999996"/>
    <x v="467"/>
    <x v="1"/>
    <x v="467"/>
  </r>
  <r>
    <x v="7"/>
    <n v="4.57"/>
    <x v="468"/>
    <x v="0"/>
    <x v="468"/>
  </r>
  <r>
    <x v="20"/>
    <n v="4.1500000000000004"/>
    <x v="469"/>
    <x v="1"/>
    <x v="469"/>
  </r>
  <r>
    <x v="35"/>
    <n v="10.199999999999999"/>
    <x v="470"/>
    <x v="0"/>
    <x v="470"/>
  </r>
  <r>
    <x v="34"/>
    <n v="5.47"/>
    <x v="471"/>
    <x v="1"/>
    <x v="471"/>
  </r>
  <r>
    <x v="21"/>
    <n v="4.24"/>
    <x v="472"/>
    <x v="1"/>
    <x v="472"/>
  </r>
  <r>
    <x v="12"/>
    <n v="6.41"/>
    <x v="473"/>
    <x v="1"/>
    <x v="473"/>
  </r>
  <r>
    <x v="20"/>
    <n v="5.05"/>
    <x v="474"/>
    <x v="0"/>
    <x v="474"/>
  </r>
  <r>
    <x v="8"/>
    <n v="4.84"/>
    <x v="475"/>
    <x v="1"/>
    <x v="475"/>
  </r>
  <r>
    <x v="14"/>
    <n v="6.02"/>
    <x v="476"/>
    <x v="0"/>
    <x v="476"/>
  </r>
  <r>
    <x v="36"/>
    <n v="5.93"/>
    <x v="477"/>
    <x v="0"/>
    <x v="477"/>
  </r>
  <r>
    <x v="7"/>
    <n v="3.8"/>
    <x v="478"/>
    <x v="0"/>
    <x v="478"/>
  </r>
  <r>
    <x v="3"/>
    <n v="5.25"/>
    <x v="479"/>
    <x v="1"/>
    <x v="479"/>
  </r>
  <r>
    <x v="55"/>
    <n v="6.73"/>
    <x v="480"/>
    <x v="0"/>
    <x v="480"/>
  </r>
  <r>
    <x v="13"/>
    <n v="5.39"/>
    <x v="481"/>
    <x v="1"/>
    <x v="481"/>
  </r>
  <r>
    <x v="27"/>
    <n v="5.41"/>
    <x v="482"/>
    <x v="1"/>
    <x v="482"/>
  </r>
  <r>
    <x v="46"/>
    <n v="5.47"/>
    <x v="483"/>
    <x v="1"/>
    <x v="483"/>
  </r>
  <r>
    <x v="14"/>
    <n v="7.81"/>
    <x v="484"/>
    <x v="0"/>
    <x v="484"/>
  </r>
  <r>
    <x v="8"/>
    <n v="4.7"/>
    <x v="485"/>
    <x v="1"/>
    <x v="485"/>
  </r>
  <r>
    <x v="39"/>
    <n v="4.2"/>
    <x v="486"/>
    <x v="0"/>
    <x v="486"/>
  </r>
  <r>
    <x v="8"/>
    <n v="6.5"/>
    <x v="487"/>
    <x v="0"/>
    <x v="487"/>
  </r>
  <r>
    <x v="47"/>
    <n v="4.59"/>
    <x v="488"/>
    <x v="1"/>
    <x v="488"/>
  </r>
  <r>
    <x v="10"/>
    <n v="4.55"/>
    <x v="489"/>
    <x v="1"/>
    <x v="489"/>
  </r>
  <r>
    <x v="28"/>
    <n v="4.03"/>
    <x v="490"/>
    <x v="1"/>
    <x v="490"/>
  </r>
  <r>
    <x v="56"/>
    <n v="7.58"/>
    <x v="491"/>
    <x v="1"/>
    <x v="491"/>
  </r>
  <r>
    <x v="29"/>
    <n v="4.93"/>
    <x v="492"/>
    <x v="1"/>
    <x v="492"/>
  </r>
  <r>
    <x v="20"/>
    <n v="4.38"/>
    <x v="493"/>
    <x v="1"/>
    <x v="493"/>
  </r>
  <r>
    <x v="30"/>
    <n v="8.6"/>
    <x v="493"/>
    <x v="1"/>
    <x v="493"/>
  </r>
  <r>
    <x v="44"/>
    <n v="4.7699999999999996"/>
    <x v="494"/>
    <x v="0"/>
    <x v="494"/>
  </r>
  <r>
    <x v="39"/>
    <n v="6.16"/>
    <x v="495"/>
    <x v="0"/>
    <x v="495"/>
  </r>
  <r>
    <x v="36"/>
    <n v="4.26"/>
    <x v="496"/>
    <x v="0"/>
    <x v="496"/>
  </r>
  <r>
    <x v="40"/>
    <n v="5.79"/>
    <x v="497"/>
    <x v="0"/>
    <x v="497"/>
  </r>
  <r>
    <x v="1"/>
    <n v="5.35"/>
    <x v="498"/>
    <x v="0"/>
    <x v="498"/>
  </r>
  <r>
    <x v="30"/>
    <n v="3.3"/>
    <x v="499"/>
    <x v="0"/>
    <x v="499"/>
  </r>
  <r>
    <x v="0"/>
    <n v="2.6"/>
    <x v="500"/>
    <x v="0"/>
    <x v="500"/>
  </r>
  <r>
    <x v="58"/>
    <n v="5.56"/>
    <x v="501"/>
    <x v="1"/>
    <x v="501"/>
  </r>
  <r>
    <x v="14"/>
    <n v="4.28"/>
    <x v="502"/>
    <x v="1"/>
    <x v="502"/>
  </r>
  <r>
    <x v="11"/>
    <n v="2.1"/>
    <x v="503"/>
    <x v="0"/>
    <x v="503"/>
  </r>
  <r>
    <x v="36"/>
    <n v="9.85"/>
    <x v="504"/>
    <x v="0"/>
    <x v="504"/>
  </r>
  <r>
    <x v="7"/>
    <n v="4.99"/>
    <x v="505"/>
    <x v="0"/>
    <x v="505"/>
  </r>
  <r>
    <x v="29"/>
    <n v="8.6"/>
    <x v="506"/>
    <x v="0"/>
    <x v="506"/>
  </r>
  <r>
    <x v="16"/>
    <n v="2.6"/>
    <x v="507"/>
    <x v="0"/>
    <x v="507"/>
  </r>
  <r>
    <x v="35"/>
    <n v="5.24"/>
    <x v="508"/>
    <x v="0"/>
    <x v="508"/>
  </r>
  <r>
    <x v="63"/>
    <n v="8.5399999999999991"/>
    <x v="509"/>
    <x v="1"/>
    <x v="509"/>
  </r>
  <r>
    <x v="58"/>
    <n v="6.23"/>
    <x v="510"/>
    <x v="0"/>
    <x v="510"/>
  </r>
  <r>
    <x v="38"/>
    <n v="8.68"/>
    <x v="511"/>
    <x v="0"/>
    <x v="511"/>
  </r>
  <r>
    <x v="29"/>
    <n v="4.54"/>
    <x v="512"/>
    <x v="1"/>
    <x v="512"/>
  </r>
  <r>
    <x v="14"/>
    <n v="5.5"/>
    <x v="512"/>
    <x v="1"/>
    <x v="512"/>
  </r>
  <r>
    <x v="21"/>
    <n v="7.25"/>
    <x v="512"/>
    <x v="0"/>
    <x v="512"/>
  </r>
  <r>
    <x v="56"/>
    <n v="4.32"/>
    <x v="513"/>
    <x v="1"/>
    <x v="513"/>
  </r>
  <r>
    <x v="58"/>
    <n v="5.03"/>
    <x v="514"/>
    <x v="1"/>
    <x v="514"/>
  </r>
  <r>
    <x v="46"/>
    <n v="7.9"/>
    <x v="515"/>
    <x v="0"/>
    <x v="515"/>
  </r>
  <r>
    <x v="27"/>
    <n v="4.6100000000000003"/>
    <x v="516"/>
    <x v="0"/>
    <x v="516"/>
  </r>
  <r>
    <x v="38"/>
    <n v="3.3"/>
    <x v="517"/>
    <x v="0"/>
    <x v="517"/>
  </r>
  <r>
    <x v="12"/>
    <n v="8.35"/>
    <x v="518"/>
    <x v="0"/>
    <x v="518"/>
  </r>
  <r>
    <x v="35"/>
    <n v="5.35"/>
    <x v="519"/>
    <x v="1"/>
    <x v="519"/>
  </r>
  <r>
    <x v="14"/>
    <n v="4.57"/>
    <x v="520"/>
    <x v="1"/>
    <x v="520"/>
  </r>
  <r>
    <x v="15"/>
    <n v="7.06"/>
    <x v="521"/>
    <x v="0"/>
    <x v="521"/>
  </r>
  <r>
    <x v="42"/>
    <n v="5.23"/>
    <x v="522"/>
    <x v="1"/>
    <x v="522"/>
  </r>
  <r>
    <x v="45"/>
    <n v="5.84"/>
    <x v="523"/>
    <x v="0"/>
    <x v="523"/>
  </r>
  <r>
    <x v="21"/>
    <n v="6.71"/>
    <x v="524"/>
    <x v="0"/>
    <x v="524"/>
  </r>
  <r>
    <x v="21"/>
    <n v="5.2"/>
    <x v="525"/>
    <x v="1"/>
    <x v="525"/>
  </r>
  <r>
    <x v="10"/>
    <n v="4.83"/>
    <x v="526"/>
    <x v="0"/>
    <x v="526"/>
  </r>
  <r>
    <x v="37"/>
    <n v="5.43"/>
    <x v="527"/>
    <x v="1"/>
    <x v="527"/>
  </r>
  <r>
    <x v="27"/>
    <n v="4.17"/>
    <x v="528"/>
    <x v="1"/>
    <x v="528"/>
  </r>
  <r>
    <x v="30"/>
    <n v="2.2999999999999998"/>
    <x v="529"/>
    <x v="0"/>
    <x v="529"/>
  </r>
  <r>
    <x v="64"/>
    <n v="8.5500000000000007"/>
    <x v="530"/>
    <x v="1"/>
    <x v="530"/>
  </r>
  <r>
    <x v="49"/>
    <n v="2.5"/>
    <x v="531"/>
    <x v="0"/>
    <x v="531"/>
  </r>
  <r>
    <x v="14"/>
    <n v="4.92"/>
    <x v="532"/>
    <x v="0"/>
    <x v="532"/>
  </r>
  <r>
    <x v="22"/>
    <n v="4.66"/>
    <x v="533"/>
    <x v="1"/>
    <x v="533"/>
  </r>
  <r>
    <x v="8"/>
    <n v="1.6"/>
    <x v="534"/>
    <x v="0"/>
    <x v="534"/>
  </r>
  <r>
    <x v="17"/>
    <n v="4.6399999999999997"/>
    <x v="535"/>
    <x v="0"/>
    <x v="535"/>
  </r>
  <r>
    <x v="22"/>
    <n v="4.4800000000000004"/>
    <x v="536"/>
    <x v="1"/>
    <x v="536"/>
  </r>
  <r>
    <x v="54"/>
    <n v="4.17"/>
    <x v="537"/>
    <x v="1"/>
    <x v="537"/>
  </r>
  <r>
    <x v="2"/>
    <n v="5.0999999999999996"/>
    <x v="538"/>
    <x v="0"/>
    <x v="538"/>
  </r>
  <r>
    <x v="58"/>
    <n v="7"/>
    <x v="539"/>
    <x v="0"/>
    <x v="539"/>
  </r>
  <r>
    <x v="32"/>
    <n v="4.12"/>
    <x v="540"/>
    <x v="0"/>
    <x v="540"/>
  </r>
  <r>
    <x v="7"/>
    <n v="8.5500000000000007"/>
    <x v="541"/>
    <x v="0"/>
    <x v="541"/>
  </r>
  <r>
    <x v="55"/>
    <n v="4.84"/>
    <x v="542"/>
    <x v="1"/>
    <x v="542"/>
  </r>
  <r>
    <x v="44"/>
    <n v="5.2"/>
    <x v="543"/>
    <x v="0"/>
    <x v="543"/>
  </r>
  <r>
    <x v="36"/>
    <n v="6.76"/>
    <x v="544"/>
    <x v="1"/>
    <x v="544"/>
  </r>
  <r>
    <x v="19"/>
    <n v="7.76"/>
    <x v="545"/>
    <x v="0"/>
    <x v="545"/>
  </r>
  <r>
    <x v="30"/>
    <n v="5.15"/>
    <x v="546"/>
    <x v="0"/>
    <x v="546"/>
  </r>
  <r>
    <x v="37"/>
    <n v="7.29"/>
    <x v="547"/>
    <x v="0"/>
    <x v="547"/>
  </r>
  <r>
    <x v="60"/>
    <n v="4.1399999999999997"/>
    <x v="548"/>
    <x v="0"/>
    <x v="548"/>
  </r>
  <r>
    <x v="55"/>
    <n v="5.76"/>
    <x v="549"/>
    <x v="0"/>
    <x v="549"/>
  </r>
  <r>
    <x v="48"/>
    <n v="6.23"/>
    <x v="550"/>
    <x v="0"/>
    <x v="550"/>
  </r>
  <r>
    <x v="8"/>
    <n v="4.1100000000000003"/>
    <x v="551"/>
    <x v="0"/>
    <x v="551"/>
  </r>
  <r>
    <x v="8"/>
    <n v="6.47"/>
    <x v="552"/>
    <x v="0"/>
    <x v="552"/>
  </r>
  <r>
    <x v="22"/>
    <n v="4.66"/>
    <x v="553"/>
    <x v="0"/>
    <x v="553"/>
  </r>
  <r>
    <x v="5"/>
    <n v="4.34"/>
    <x v="554"/>
    <x v="1"/>
    <x v="554"/>
  </r>
  <r>
    <x v="1"/>
    <n v="4.1399999999999997"/>
    <x v="555"/>
    <x v="1"/>
    <x v="555"/>
  </r>
  <r>
    <x v="3"/>
    <n v="7.45"/>
    <x v="556"/>
    <x v="0"/>
    <x v="556"/>
  </r>
  <r>
    <x v="44"/>
    <n v="5.42"/>
    <x v="557"/>
    <x v="0"/>
    <x v="557"/>
  </r>
  <r>
    <x v="3"/>
    <n v="4.96"/>
    <x v="558"/>
    <x v="0"/>
    <x v="558"/>
  </r>
  <r>
    <x v="40"/>
    <n v="8.1199999999999992"/>
    <x v="559"/>
    <x v="0"/>
    <x v="559"/>
  </r>
  <r>
    <x v="13"/>
    <n v="4.3899999999999997"/>
    <x v="560"/>
    <x v="0"/>
    <x v="560"/>
  </r>
  <r>
    <x v="23"/>
    <n v="3.3"/>
    <x v="561"/>
    <x v="0"/>
    <x v="561"/>
  </r>
  <r>
    <x v="28"/>
    <n v="6.25"/>
    <x v="562"/>
    <x v="0"/>
    <x v="562"/>
  </r>
  <r>
    <x v="40"/>
    <n v="1.5"/>
    <x v="563"/>
    <x v="0"/>
    <x v="563"/>
  </r>
  <r>
    <x v="32"/>
    <n v="7.79"/>
    <x v="564"/>
    <x v="0"/>
    <x v="564"/>
  </r>
  <r>
    <x v="43"/>
    <n v="3.7"/>
    <x v="565"/>
    <x v="0"/>
    <x v="565"/>
  </r>
  <r>
    <x v="7"/>
    <n v="5.48"/>
    <x v="566"/>
    <x v="0"/>
    <x v="566"/>
  </r>
  <r>
    <x v="34"/>
    <n v="4.4400000000000004"/>
    <x v="567"/>
    <x v="0"/>
    <x v="567"/>
  </r>
  <r>
    <x v="8"/>
    <n v="6.63"/>
    <x v="568"/>
    <x v="1"/>
    <x v="568"/>
  </r>
  <r>
    <x v="12"/>
    <n v="4.46"/>
    <x v="569"/>
    <x v="0"/>
    <x v="569"/>
  </r>
  <r>
    <x v="4"/>
    <n v="4.3099999999999996"/>
    <x v="570"/>
    <x v="0"/>
    <x v="570"/>
  </r>
  <r>
    <x v="13"/>
    <n v="7.27"/>
    <x v="571"/>
    <x v="0"/>
    <x v="571"/>
  </r>
  <r>
    <x v="32"/>
    <n v="6.22"/>
    <x v="572"/>
    <x v="0"/>
    <x v="572"/>
  </r>
  <r>
    <x v="27"/>
    <n v="6.68"/>
    <x v="573"/>
    <x v="1"/>
    <x v="573"/>
  </r>
  <r>
    <x v="19"/>
    <n v="3.3"/>
    <x v="574"/>
    <x v="0"/>
    <x v="574"/>
  </r>
  <r>
    <x v="29"/>
    <n v="2"/>
    <x v="575"/>
    <x v="0"/>
    <x v="575"/>
  </r>
  <r>
    <x v="22"/>
    <n v="7.72"/>
    <x v="576"/>
    <x v="0"/>
    <x v="576"/>
  </r>
  <r>
    <x v="32"/>
    <n v="2.9"/>
    <x v="577"/>
    <x v="0"/>
    <x v="577"/>
  </r>
  <r>
    <x v="26"/>
    <n v="6.18"/>
    <x v="578"/>
    <x v="0"/>
    <x v="578"/>
  </r>
  <r>
    <x v="7"/>
    <n v="4.32"/>
    <x v="579"/>
    <x v="0"/>
    <x v="579"/>
  </r>
  <r>
    <x v="55"/>
    <n v="1.8"/>
    <x v="580"/>
    <x v="0"/>
    <x v="580"/>
  </r>
  <r>
    <x v="42"/>
    <n v="5.03"/>
    <x v="581"/>
    <x v="1"/>
    <x v="581"/>
  </r>
  <r>
    <x v="43"/>
    <n v="2.4"/>
    <x v="582"/>
    <x v="0"/>
    <x v="582"/>
  </r>
  <r>
    <x v="34"/>
    <n v="4.46"/>
    <x v="583"/>
    <x v="0"/>
    <x v="583"/>
  </r>
  <r>
    <x v="10"/>
    <n v="4.6500000000000004"/>
    <x v="584"/>
    <x v="1"/>
    <x v="584"/>
  </r>
  <r>
    <x v="12"/>
    <n v="3"/>
    <x v="585"/>
    <x v="0"/>
    <x v="585"/>
  </r>
  <r>
    <x v="0"/>
    <n v="5.3"/>
    <x v="586"/>
    <x v="0"/>
    <x v="586"/>
  </r>
  <r>
    <x v="48"/>
    <n v="4"/>
    <x v="587"/>
    <x v="0"/>
    <x v="587"/>
  </r>
  <r>
    <x v="42"/>
    <n v="3.6"/>
    <x v="588"/>
    <x v="0"/>
    <x v="588"/>
  </r>
  <r>
    <x v="36"/>
    <n v="4.8"/>
    <x v="589"/>
    <x v="0"/>
    <x v="589"/>
  </r>
  <r>
    <x v="35"/>
    <n v="9.0500000000000007"/>
    <x v="590"/>
    <x v="1"/>
    <x v="590"/>
  </r>
  <r>
    <x v="35"/>
    <n v="2"/>
    <x v="591"/>
    <x v="0"/>
    <x v="591"/>
  </r>
  <r>
    <x v="8"/>
    <n v="5.22"/>
    <x v="592"/>
    <x v="0"/>
    <x v="592"/>
  </r>
  <r>
    <x v="10"/>
    <n v="7.22"/>
    <x v="593"/>
    <x v="1"/>
    <x v="593"/>
  </r>
  <r>
    <x v="21"/>
    <n v="1.9"/>
    <x v="594"/>
    <x v="0"/>
    <x v="594"/>
  </r>
  <r>
    <x v="41"/>
    <n v="5.85"/>
    <x v="595"/>
    <x v="0"/>
    <x v="595"/>
  </r>
  <r>
    <x v="40"/>
    <n v="3.9"/>
    <x v="596"/>
    <x v="0"/>
    <x v="596"/>
  </r>
  <r>
    <x v="14"/>
    <n v="8.39"/>
    <x v="597"/>
    <x v="1"/>
    <x v="597"/>
  </r>
  <r>
    <x v="32"/>
    <n v="6.41"/>
    <x v="598"/>
    <x v="0"/>
    <x v="598"/>
  </r>
  <r>
    <x v="10"/>
    <n v="4.13"/>
    <x v="599"/>
    <x v="1"/>
    <x v="599"/>
  </r>
  <r>
    <x v="46"/>
    <n v="7.38"/>
    <x v="600"/>
    <x v="1"/>
    <x v="600"/>
  </r>
  <r>
    <x v="46"/>
    <n v="2.9"/>
    <x v="601"/>
    <x v="0"/>
    <x v="601"/>
  </r>
  <r>
    <x v="60"/>
    <n v="4.03"/>
    <x v="602"/>
    <x v="0"/>
    <x v="602"/>
  </r>
  <r>
    <x v="46"/>
    <n v="2.67"/>
    <x v="603"/>
    <x v="0"/>
    <x v="603"/>
  </r>
  <r>
    <x v="24"/>
    <n v="4.4400000000000004"/>
    <x v="604"/>
    <x v="1"/>
    <x v="604"/>
  </r>
  <r>
    <x v="31"/>
    <n v="4.62"/>
    <x v="605"/>
    <x v="0"/>
    <x v="605"/>
  </r>
  <r>
    <x v="26"/>
    <n v="5.58"/>
    <x v="606"/>
    <x v="0"/>
    <x v="606"/>
  </r>
  <r>
    <x v="32"/>
    <n v="3.8"/>
    <x v="607"/>
    <x v="0"/>
    <x v="607"/>
  </r>
  <r>
    <x v="39"/>
    <n v="1.5"/>
    <x v="608"/>
    <x v="0"/>
    <x v="608"/>
  </r>
  <r>
    <x v="65"/>
    <n v="4.37"/>
    <x v="609"/>
    <x v="0"/>
    <x v="609"/>
  </r>
  <r>
    <x v="37"/>
    <n v="1.5"/>
    <x v="610"/>
    <x v="0"/>
    <x v="610"/>
  </r>
  <r>
    <x v="34"/>
    <n v="2.1"/>
    <x v="611"/>
    <x v="0"/>
    <x v="611"/>
  </r>
  <r>
    <x v="29"/>
    <n v="7.18"/>
    <x v="612"/>
    <x v="0"/>
    <x v="612"/>
  </r>
  <r>
    <x v="13"/>
    <n v="4.1399999999999997"/>
    <x v="613"/>
    <x v="0"/>
    <x v="613"/>
  </r>
  <r>
    <x v="51"/>
    <n v="3.5"/>
    <x v="614"/>
    <x v="0"/>
    <x v="614"/>
  </r>
  <r>
    <x v="53"/>
    <n v="4"/>
    <x v="615"/>
    <x v="0"/>
    <x v="615"/>
  </r>
  <r>
    <x v="45"/>
    <n v="4.0599999999999996"/>
    <x v="616"/>
    <x v="0"/>
    <x v="616"/>
  </r>
  <r>
    <x v="4"/>
    <n v="6.31"/>
    <x v="617"/>
    <x v="0"/>
    <x v="617"/>
  </r>
  <r>
    <x v="36"/>
    <n v="5.46"/>
    <x v="618"/>
    <x v="1"/>
    <x v="618"/>
  </r>
  <r>
    <x v="27"/>
    <n v="4.54"/>
    <x v="619"/>
    <x v="1"/>
    <x v="619"/>
  </r>
  <r>
    <x v="46"/>
    <n v="4.1500000000000004"/>
    <x v="620"/>
    <x v="0"/>
    <x v="620"/>
  </r>
  <r>
    <x v="36"/>
    <n v="5.65"/>
    <x v="621"/>
    <x v="0"/>
    <x v="621"/>
  </r>
  <r>
    <x v="45"/>
    <n v="4.3899999999999997"/>
    <x v="622"/>
    <x v="0"/>
    <x v="622"/>
  </r>
  <r>
    <x v="7"/>
    <n v="7.37"/>
    <x v="623"/>
    <x v="0"/>
    <x v="623"/>
  </r>
  <r>
    <x v="28"/>
    <n v="2"/>
    <x v="624"/>
    <x v="0"/>
    <x v="624"/>
  </r>
  <r>
    <x v="7"/>
    <n v="4"/>
    <x v="625"/>
    <x v="0"/>
    <x v="625"/>
  </r>
  <r>
    <x v="58"/>
    <n v="4"/>
    <x v="626"/>
    <x v="0"/>
    <x v="626"/>
  </r>
  <r>
    <x v="26"/>
    <n v="1.7"/>
    <x v="627"/>
    <x v="0"/>
    <x v="627"/>
  </r>
  <r>
    <x v="41"/>
    <n v="2.7"/>
    <x v="628"/>
    <x v="0"/>
    <x v="628"/>
  </r>
  <r>
    <x v="44"/>
    <n v="2.2999999999999998"/>
    <x v="629"/>
    <x v="0"/>
    <x v="629"/>
  </r>
  <r>
    <x v="29"/>
    <n v="3.7"/>
    <x v="630"/>
    <x v="0"/>
    <x v="630"/>
  </r>
  <r>
    <x v="45"/>
    <n v="3.9"/>
    <x v="631"/>
    <x v="0"/>
    <x v="631"/>
  </r>
  <r>
    <x v="27"/>
    <n v="2.8"/>
    <x v="632"/>
    <x v="0"/>
    <x v="632"/>
  </r>
  <r>
    <x v="48"/>
    <n v="5.93"/>
    <x v="633"/>
    <x v="0"/>
    <x v="633"/>
  </r>
  <r>
    <x v="1"/>
    <n v="2.6"/>
    <x v="634"/>
    <x v="0"/>
    <x v="634"/>
  </r>
  <r>
    <x v="49"/>
    <n v="4.68"/>
    <x v="635"/>
    <x v="1"/>
    <x v="635"/>
  </r>
  <r>
    <x v="28"/>
    <n v="8.41"/>
    <x v="636"/>
    <x v="0"/>
    <x v="636"/>
  </r>
  <r>
    <x v="0"/>
    <n v="4.18"/>
    <x v="637"/>
    <x v="1"/>
    <x v="637"/>
  </r>
  <r>
    <x v="0"/>
    <n v="3.2"/>
    <x v="638"/>
    <x v="0"/>
    <x v="6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9.68"/>
    <x v="0"/>
    <x v="0"/>
    <n v="3.3464674132283436E-3"/>
  </r>
  <r>
    <x v="1"/>
    <n v="12.6"/>
    <x v="1"/>
    <x v="0"/>
    <n v="3.0471939392961471E-3"/>
  </r>
  <r>
    <x v="2"/>
    <n v="8.93"/>
    <x v="2"/>
    <x v="1"/>
    <n v="2.9887007245090625E-3"/>
  </r>
  <r>
    <x v="3"/>
    <n v="11.5"/>
    <x v="3"/>
    <x v="0"/>
    <n v="2.9874400948800305E-3"/>
  </r>
  <r>
    <x v="4"/>
    <n v="8.8000000000000007"/>
    <x v="4"/>
    <x v="0"/>
    <n v="2.9087768060284337E-3"/>
  </r>
  <r>
    <x v="5"/>
    <n v="8.2899999999999991"/>
    <x v="5"/>
    <x v="1"/>
    <n v="2.9067597986219829E-3"/>
  </r>
  <r>
    <x v="6"/>
    <n v="11.9"/>
    <x v="6"/>
    <x v="0"/>
    <n v="2.8984396430703713E-3"/>
  </r>
  <r>
    <x v="7"/>
    <n v="12.5"/>
    <x v="7"/>
    <x v="0"/>
    <n v="2.7938073838607155E-3"/>
  </r>
  <r>
    <x v="7"/>
    <n v="8.0399999999999991"/>
    <x v="8"/>
    <x v="0"/>
    <n v="2.7854872283091044E-3"/>
  </r>
  <r>
    <x v="8"/>
    <n v="9.7799999999999994"/>
    <x v="9"/>
    <x v="0"/>
    <n v="2.7680905394284628E-3"/>
  </r>
  <r>
    <x v="9"/>
    <n v="12.4"/>
    <x v="10"/>
    <x v="0"/>
    <n v="2.758761880173626E-3"/>
  </r>
  <r>
    <x v="10"/>
    <n v="9.84"/>
    <x v="11"/>
    <x v="0"/>
    <n v="2.7272461394478261E-3"/>
  </r>
  <r>
    <x v="11"/>
    <n v="12.5"/>
    <x v="12"/>
    <x v="0"/>
    <n v="2.6627019024413876E-3"/>
  </r>
  <r>
    <x v="0"/>
    <n v="11.8"/>
    <x v="13"/>
    <x v="0"/>
    <n v="2.6624497765155809E-3"/>
  </r>
  <r>
    <x v="12"/>
    <n v="7.97"/>
    <x v="14"/>
    <x v="0"/>
    <n v="2.6410190728220371E-3"/>
  </r>
  <r>
    <x v="13"/>
    <n v="12.3"/>
    <x v="15"/>
    <x v="0"/>
    <n v="2.6190841172768803E-3"/>
  </r>
  <r>
    <x v="14"/>
    <n v="8.56"/>
    <x v="16"/>
    <x v="0"/>
    <n v="2.6132852209833335E-3"/>
  </r>
  <r>
    <x v="15"/>
    <n v="10.4"/>
    <x v="17"/>
    <x v="0"/>
    <n v="2.5991661691381748E-3"/>
  </r>
  <r>
    <x v="4"/>
    <n v="7.3"/>
    <x v="18"/>
    <x v="0"/>
    <n v="2.5696674358188262E-3"/>
  </r>
  <r>
    <x v="16"/>
    <n v="11.1"/>
    <x v="19"/>
    <x v="0"/>
    <n v="2.5419335839801222E-3"/>
  </r>
  <r>
    <x v="9"/>
    <n v="8.3800000000000008"/>
    <x v="20"/>
    <x v="1"/>
    <n v="2.5409250802768965E-3"/>
  </r>
  <r>
    <x v="1"/>
    <n v="9.69"/>
    <x v="21"/>
    <x v="0"/>
    <n v="2.5394123247220583E-3"/>
  </r>
  <r>
    <x v="17"/>
    <n v="12.5"/>
    <x v="22"/>
    <x v="0"/>
    <n v="2.5351261839833493E-3"/>
  </r>
  <r>
    <x v="7"/>
    <n v="5.94"/>
    <x v="23"/>
    <x v="0"/>
    <n v="2.5230241395446419E-3"/>
  </r>
  <r>
    <x v="18"/>
    <n v="8.0500000000000007"/>
    <x v="24"/>
    <x v="0"/>
    <n v="2.5202507543607717E-3"/>
  </r>
  <r>
    <x v="19"/>
    <n v="10.7"/>
    <x v="25"/>
    <x v="0"/>
    <n v="2.5144518580672245E-3"/>
  </r>
  <r>
    <x v="17"/>
    <n v="12.5"/>
    <x v="26"/>
    <x v="0"/>
    <n v="2.5141997321414182E-3"/>
  </r>
  <r>
    <x v="20"/>
    <n v="11.3"/>
    <x v="27"/>
    <x v="0"/>
    <n v="2.5111742210317412E-3"/>
  </r>
  <r>
    <x v="0"/>
    <n v="10"/>
    <x v="28"/>
    <x v="0"/>
    <n v="2.479406354380135E-3"/>
  </r>
  <r>
    <x v="20"/>
    <n v="12.4"/>
    <x v="29"/>
    <x v="0"/>
    <n v="2.439066206251111E-3"/>
  </r>
  <r>
    <x v="21"/>
    <n v="9.35"/>
    <x v="30"/>
    <x v="1"/>
    <n v="2.4282247914414359E-3"/>
  </r>
  <r>
    <x v="22"/>
    <n v="5.0599999999999996"/>
    <x v="31"/>
    <x v="1"/>
    <n v="2.4211652655188568E-3"/>
  </r>
  <r>
    <x v="2"/>
    <n v="12"/>
    <x v="32"/>
    <x v="0"/>
    <n v="2.413601487744665E-3"/>
  </r>
  <r>
    <x v="10"/>
    <n v="11.6"/>
    <x v="33"/>
    <x v="0"/>
    <n v="2.4050292062672471E-3"/>
  </r>
  <r>
    <x v="23"/>
    <n v="6.44"/>
    <x v="34"/>
    <x v="1"/>
    <n v="2.4020036951575702E-3"/>
  </r>
  <r>
    <x v="12"/>
    <n v="11.9"/>
    <x v="35"/>
    <x v="0"/>
    <n v="2.3994824358995063E-3"/>
  </r>
  <r>
    <x v="19"/>
    <n v="9.73"/>
    <x v="36"/>
    <x v="0"/>
    <n v="2.3878846433124119E-3"/>
  </r>
  <r>
    <x v="2"/>
    <n v="9.23"/>
    <x v="37"/>
    <x v="0"/>
    <n v="2.3765389766511242E-3"/>
  </r>
  <r>
    <x v="24"/>
    <n v="12.1"/>
    <x v="38"/>
    <x v="0"/>
    <n v="2.3717485840608022E-3"/>
  </r>
  <r>
    <x v="17"/>
    <n v="11.7"/>
    <x v="39"/>
    <x v="0"/>
    <n v="2.3606550433253205E-3"/>
  </r>
  <r>
    <x v="7"/>
    <n v="9.67"/>
    <x v="40"/>
    <x v="1"/>
    <n v="2.3450232359253243E-3"/>
  </r>
  <r>
    <x v="25"/>
    <n v="9.6199999999999992"/>
    <x v="41"/>
    <x v="0"/>
    <n v="2.3419977248156473E-3"/>
  </r>
  <r>
    <x v="26"/>
    <n v="5.21"/>
    <x v="42"/>
    <x v="0"/>
    <n v="2.3417455988898406E-3"/>
  </r>
  <r>
    <x v="22"/>
    <n v="7.07"/>
    <x v="43"/>
    <x v="0"/>
    <n v="2.3404849692608086E-3"/>
  </r>
  <r>
    <x v="27"/>
    <n v="8.18"/>
    <x v="44"/>
    <x v="1"/>
    <n v="2.3316605618575849E-3"/>
  </r>
  <r>
    <x v="8"/>
    <n v="11.3"/>
    <x v="45"/>
    <x v="0"/>
    <n v="2.330399932228553E-3"/>
  </r>
  <r>
    <x v="27"/>
    <n v="7.55"/>
    <x v="46"/>
    <x v="0"/>
    <n v="2.3251052877866184E-3"/>
  </r>
  <r>
    <x v="28"/>
    <n v="9.99"/>
    <x v="46"/>
    <x v="0"/>
    <n v="2.3251052877866184E-3"/>
  </r>
  <r>
    <x v="29"/>
    <n v="12.1"/>
    <x v="47"/>
    <x v="0"/>
    <n v="2.3215755248253288E-3"/>
  </r>
  <r>
    <x v="21"/>
    <n v="12.8"/>
    <x v="48"/>
    <x v="0"/>
    <n v="2.3142638729769433E-3"/>
  </r>
  <r>
    <x v="14"/>
    <n v="9.24"/>
    <x v="49"/>
    <x v="0"/>
    <n v="2.3119947396446857E-3"/>
  </r>
  <r>
    <x v="23"/>
    <n v="8.7899999999999991"/>
    <x v="50"/>
    <x v="0"/>
    <n v="2.3077085989059768E-3"/>
  </r>
  <r>
    <x v="21"/>
    <n v="7.25"/>
    <x v="51"/>
    <x v="0"/>
    <n v="2.3041788359446872E-3"/>
  </r>
  <r>
    <x v="30"/>
    <n v="8.65"/>
    <x v="52"/>
    <x v="0"/>
    <n v="2.29837993965114E-3"/>
  </r>
  <r>
    <x v="19"/>
    <n v="9.4600000000000009"/>
    <x v="53"/>
    <x v="1"/>
    <n v="2.2940937989124311E-3"/>
  </r>
  <r>
    <x v="25"/>
    <n v="12.2"/>
    <x v="54"/>
    <x v="0"/>
    <n v="2.2915725396543672E-3"/>
  </r>
  <r>
    <x v="19"/>
    <n v="12.4"/>
    <x v="55"/>
    <x v="0"/>
    <n v="2.28577364336082E-3"/>
  </r>
  <r>
    <x v="5"/>
    <n v="9.3800000000000008"/>
    <x v="56"/>
    <x v="0"/>
    <n v="2.2797226211414665E-3"/>
  </r>
  <r>
    <x v="31"/>
    <n v="8.39"/>
    <x v="57"/>
    <x v="1"/>
    <n v="2.2686290804059851E-3"/>
  </r>
  <r>
    <x v="32"/>
    <n v="12.7"/>
    <x v="58"/>
    <x v="0"/>
    <n v="2.2610653026317929E-3"/>
  </r>
  <r>
    <x v="23"/>
    <n v="10.3"/>
    <x v="59"/>
    <x v="0"/>
    <n v="2.256274910041471E-3"/>
  </r>
  <r>
    <x v="19"/>
    <n v="7.12"/>
    <x v="60"/>
    <x v="0"/>
    <n v="2.255518532264052E-3"/>
  </r>
  <r>
    <x v="4"/>
    <n v="9.74"/>
    <x v="61"/>
    <x v="0"/>
    <n v="2.2519887693027625E-3"/>
  </r>
  <r>
    <x v="4"/>
    <n v="8.68"/>
    <x v="62"/>
    <x v="0"/>
    <n v="2.2504760137479242E-3"/>
  </r>
  <r>
    <x v="33"/>
    <n v="8.08"/>
    <x v="63"/>
    <x v="0"/>
    <n v="2.2484590063414729E-3"/>
  </r>
  <r>
    <x v="5"/>
    <n v="9.0399999999999991"/>
    <x v="64"/>
    <x v="0"/>
    <n v="2.245937747083409E-3"/>
  </r>
  <r>
    <x v="34"/>
    <n v="8.1199999999999992"/>
    <x v="65"/>
    <x v="0"/>
    <n v="2.2456856211576022E-3"/>
  </r>
  <r>
    <x v="20"/>
    <n v="12.7"/>
    <x v="66"/>
    <x v="0"/>
    <n v="2.2330793248672822E-3"/>
  </r>
  <r>
    <x v="14"/>
    <n v="8.75"/>
    <x v="67"/>
    <x v="1"/>
    <n v="2.232070821164057E-3"/>
  </r>
  <r>
    <x v="27"/>
    <n v="8.65"/>
    <x v="68"/>
    <x v="1"/>
    <n v="2.229549561905993E-3"/>
  </r>
  <r>
    <x v="26"/>
    <n v="8.42"/>
    <x v="69"/>
    <x v="0"/>
    <n v="2.2270283026479287E-3"/>
  </r>
  <r>
    <x v="35"/>
    <n v="10"/>
    <x v="70"/>
    <x v="0"/>
    <n v="2.2227421619092202E-3"/>
  </r>
  <r>
    <x v="21"/>
    <n v="11.3"/>
    <x v="71"/>
    <x v="0"/>
    <n v="2.2124049989511578E-3"/>
  </r>
  <r>
    <x v="35"/>
    <n v="10.1"/>
    <x v="72"/>
    <x v="0"/>
    <n v="2.2093794878414808E-3"/>
  </r>
  <r>
    <x v="36"/>
    <n v="6.95"/>
    <x v="73"/>
    <x v="0"/>
    <n v="2.2040848433995466E-3"/>
  </r>
  <r>
    <x v="0"/>
    <n v="5.78"/>
    <x v="74"/>
    <x v="1"/>
    <n v="2.203580591547934E-3"/>
  </r>
  <r>
    <x v="37"/>
    <n v="8.68"/>
    <x v="75"/>
    <x v="0"/>
    <n v="2.1937476804414842E-3"/>
  </r>
  <r>
    <x v="38"/>
    <n v="7.06"/>
    <x v="76"/>
    <x v="1"/>
    <n v="2.1854275248898731E-3"/>
  </r>
  <r>
    <x v="13"/>
    <n v="7.41"/>
    <x v="77"/>
    <x v="1"/>
    <n v="2.1798807545221322E-3"/>
  </r>
  <r>
    <x v="19"/>
    <n v="8.5399999999999991"/>
    <x v="78"/>
    <x v="0"/>
    <n v="2.1773594952640683E-3"/>
  </r>
  <r>
    <x v="14"/>
    <n v="7.21"/>
    <x v="79"/>
    <x v="1"/>
    <n v="2.174081858228585E-3"/>
  </r>
  <r>
    <x v="28"/>
    <n v="8.89"/>
    <x v="80"/>
    <x v="0"/>
    <n v="2.1629883174931037E-3"/>
  </r>
  <r>
    <x v="39"/>
    <n v="10.6"/>
    <x v="81"/>
    <x v="0"/>
    <n v="2.1523990286092345E-3"/>
  </r>
  <r>
    <x v="21"/>
    <n v="6.94"/>
    <x v="82"/>
    <x v="0"/>
    <n v="2.1503820212027836E-3"/>
  </r>
  <r>
    <x v="40"/>
    <n v="7.95"/>
    <x v="83"/>
    <x v="1"/>
    <n v="2.1438267471318171E-3"/>
  </r>
  <r>
    <x v="40"/>
    <n v="8.6"/>
    <x v="84"/>
    <x v="0"/>
    <n v="2.1302119471382714E-3"/>
  </r>
  <r>
    <x v="9"/>
    <n v="9.33"/>
    <x v="85"/>
    <x v="0"/>
    <n v="2.1299598212124651E-3"/>
  </r>
  <r>
    <x v="20"/>
    <n v="9.8699999999999992"/>
    <x v="86"/>
    <x v="1"/>
    <n v="2.1249173026963372E-3"/>
  </r>
  <r>
    <x v="41"/>
    <n v="5.96"/>
    <x v="87"/>
    <x v="0"/>
    <n v="2.1244130508447242E-3"/>
  </r>
  <r>
    <x v="38"/>
    <n v="7.33"/>
    <x v="88"/>
    <x v="0"/>
    <n v="2.1211354138092409E-3"/>
  </r>
  <r>
    <x v="27"/>
    <n v="12.1"/>
    <x v="89"/>
    <x v="0"/>
    <n v="2.1143280138124681E-3"/>
  </r>
  <r>
    <x v="29"/>
    <n v="9.2200000000000006"/>
    <x v="90"/>
    <x v="1"/>
    <n v="2.1118067545544041E-3"/>
  </r>
  <r>
    <x v="1"/>
    <n v="9.98"/>
    <x v="91"/>
    <x v="1"/>
    <n v="2.1110503767769852E-3"/>
  </r>
  <r>
    <x v="42"/>
    <n v="7.59"/>
    <x v="92"/>
    <x v="1"/>
    <n v="2.1070163619640826E-3"/>
  </r>
  <r>
    <x v="5"/>
    <n v="8.74"/>
    <x v="93"/>
    <x v="0"/>
    <n v="2.102225969373761E-3"/>
  </r>
  <r>
    <x v="7"/>
    <n v="12"/>
    <x v="94"/>
    <x v="0"/>
    <n v="2.0979398286350521E-3"/>
  </r>
  <r>
    <x v="0"/>
    <n v="9.2100000000000009"/>
    <x v="95"/>
    <x v="1"/>
    <n v="2.0964270730802139E-3"/>
  </r>
  <r>
    <x v="43"/>
    <n v="5.61"/>
    <x v="96"/>
    <x v="0"/>
    <n v="2.0946621915995688E-3"/>
  </r>
  <r>
    <x v="34"/>
    <n v="9.23"/>
    <x v="97"/>
    <x v="0"/>
    <n v="2.0845771545673132E-3"/>
  </r>
  <r>
    <x v="1"/>
    <n v="9.25"/>
    <x v="98"/>
    <x v="0"/>
    <n v="2.0752484953124764E-3"/>
  </r>
  <r>
    <x v="40"/>
    <n v="9.69"/>
    <x v="99"/>
    <x v="0"/>
    <n v="2.0691974730931225E-3"/>
  </r>
  <r>
    <x v="44"/>
    <n v="4.08"/>
    <x v="100"/>
    <x v="1"/>
    <n v="2.0686932212415098E-3"/>
  </r>
  <r>
    <x v="20"/>
    <n v="10.7"/>
    <x v="101"/>
    <x v="0"/>
    <n v="2.0679368434640905E-3"/>
  </r>
  <r>
    <x v="16"/>
    <n v="6.84"/>
    <x v="102"/>
    <x v="0"/>
    <n v="2.0644070805028009E-3"/>
  </r>
  <r>
    <x v="28"/>
    <n v="9.94"/>
    <x v="103"/>
    <x v="1"/>
    <n v="2.0593645619866731E-3"/>
  </r>
  <r>
    <x v="13"/>
    <n v="9.27"/>
    <x v="104"/>
    <x v="0"/>
    <n v="2.0583560582834474E-3"/>
  </r>
  <r>
    <x v="7"/>
    <n v="9.77"/>
    <x v="105"/>
    <x v="1"/>
    <n v="2.0565911768028024E-3"/>
  </r>
  <r>
    <x v="21"/>
    <n v="8.11"/>
    <x v="106"/>
    <x v="0"/>
    <n v="2.0555826730995772E-3"/>
  </r>
  <r>
    <x v="9"/>
    <n v="7.69"/>
    <x v="107"/>
    <x v="1"/>
    <n v="2.0442370064382891E-3"/>
  </r>
  <r>
    <x v="45"/>
    <n v="9.9499999999999993"/>
    <x v="108"/>
    <x v="1"/>
    <n v="2.0419678731060315E-3"/>
  </r>
  <r>
    <x v="13"/>
    <n v="9.49"/>
    <x v="109"/>
    <x v="1"/>
    <n v="2.0288573249640988E-3"/>
  </r>
  <r>
    <x v="12"/>
    <n v="7.36"/>
    <x v="110"/>
    <x v="1"/>
    <n v="2.0278488212608732E-3"/>
  </r>
  <r>
    <x v="19"/>
    <n v="5.96"/>
    <x v="111"/>
    <x v="0"/>
    <n v="2.0248233101511962E-3"/>
  </r>
  <r>
    <x v="14"/>
    <n v="8.2200000000000006"/>
    <x v="111"/>
    <x v="1"/>
    <n v="2.0248233101511962E-3"/>
  </r>
  <r>
    <x v="25"/>
    <n v="9.93"/>
    <x v="112"/>
    <x v="1"/>
    <n v="2.0210414212641003E-3"/>
  </r>
  <r>
    <x v="35"/>
    <n v="5.99"/>
    <x v="113"/>
    <x v="0"/>
    <n v="2.020285043486681E-3"/>
  </r>
  <r>
    <x v="34"/>
    <n v="9.57"/>
    <x v="114"/>
    <x v="0"/>
    <n v="2.0177637842286171E-3"/>
  </r>
  <r>
    <x v="24"/>
    <n v="10.6"/>
    <x v="115"/>
    <x v="0"/>
    <n v="2.0170074064511977E-3"/>
  </r>
  <r>
    <x v="12"/>
    <n v="6.75"/>
    <x v="116"/>
    <x v="0"/>
    <n v="2.0167552805253914E-3"/>
  </r>
  <r>
    <x v="40"/>
    <n v="9.3800000000000008"/>
    <x v="117"/>
    <x v="0"/>
    <n v="2.0144861471931342E-3"/>
  </r>
  <r>
    <x v="22"/>
    <n v="8.65"/>
    <x v="118"/>
    <x v="1"/>
    <n v="2.0117127620092635E-3"/>
  </r>
  <r>
    <x v="40"/>
    <n v="6.74"/>
    <x v="119"/>
    <x v="0"/>
    <n v="2.0086872508995866E-3"/>
  </r>
  <r>
    <x v="10"/>
    <n v="9.6"/>
    <x v="120"/>
    <x v="1"/>
    <n v="2.00566173978991E-3"/>
  </r>
  <r>
    <x v="29"/>
    <n v="12.2"/>
    <x v="121"/>
    <x v="0"/>
    <n v="2.0008713471995885E-3"/>
  </r>
  <r>
    <x v="45"/>
    <n v="8.9600000000000009"/>
    <x v="122"/>
    <x v="1"/>
    <n v="2.0006192212737818E-3"/>
  </r>
  <r>
    <x v="9"/>
    <n v="6.63"/>
    <x v="123"/>
    <x v="1"/>
    <n v="1.9991064657189435E-3"/>
  </r>
  <r>
    <x v="36"/>
    <n v="8.02"/>
    <x v="124"/>
    <x v="0"/>
    <n v="1.9980979620157178E-3"/>
  </r>
  <r>
    <x v="5"/>
    <n v="11.9"/>
    <x v="125"/>
    <x v="0"/>
    <n v="1.9975937101641052E-3"/>
  </r>
  <r>
    <x v="0"/>
    <n v="9.3000000000000007"/>
    <x v="126"/>
    <x v="0"/>
    <n v="1.9875086731318491E-3"/>
  </r>
  <r>
    <x v="39"/>
    <n v="9.15"/>
    <x v="127"/>
    <x v="0"/>
    <n v="1.9812055249866893E-3"/>
  </r>
  <r>
    <x v="21"/>
    <n v="9.99"/>
    <x v="128"/>
    <x v="1"/>
    <n v="1.9764151323963678E-3"/>
  </r>
  <r>
    <x v="23"/>
    <n v="9.9600000000000009"/>
    <x v="129"/>
    <x v="1"/>
    <n v="1.9741459990641097E-3"/>
  </r>
  <r>
    <x v="46"/>
    <n v="9.02"/>
    <x v="130"/>
    <x v="1"/>
    <n v="1.9733896212866908E-3"/>
  </r>
  <r>
    <x v="40"/>
    <n v="6.27"/>
    <x v="131"/>
    <x v="0"/>
    <n v="1.9716247398060462E-3"/>
  </r>
  <r>
    <x v="47"/>
    <n v="11.8"/>
    <x v="131"/>
    <x v="0"/>
    <n v="1.9716247398060462E-3"/>
  </r>
  <r>
    <x v="48"/>
    <n v="5.86"/>
    <x v="132"/>
    <x v="0"/>
    <n v="1.9663300953641116E-3"/>
  </r>
  <r>
    <x v="13"/>
    <n v="9.8699999999999992"/>
    <x v="133"/>
    <x v="0"/>
    <n v="1.9645652138834666E-3"/>
  </r>
  <r>
    <x v="49"/>
    <n v="9.0500000000000007"/>
    <x v="134"/>
    <x v="1"/>
    <n v="1.9625482064770158E-3"/>
  </r>
  <r>
    <x v="22"/>
    <n v="9.31"/>
    <x v="135"/>
    <x v="0"/>
    <n v="1.9605311990705645E-3"/>
  </r>
  <r>
    <x v="23"/>
    <n v="5.67"/>
    <x v="136"/>
    <x v="0"/>
    <n v="1.9527152953705659E-3"/>
  </r>
  <r>
    <x v="50"/>
    <n v="9.91"/>
    <x v="137"/>
    <x v="1"/>
    <n v="1.9514546657415342E-3"/>
  </r>
  <r>
    <x v="51"/>
    <n v="8.19"/>
    <x v="138"/>
    <x v="0"/>
    <n v="1.9512025398157277E-3"/>
  </r>
  <r>
    <x v="48"/>
    <n v="9.58"/>
    <x v="139"/>
    <x v="1"/>
    <n v="1.9509504138899212E-3"/>
  </r>
  <r>
    <x v="29"/>
    <n v="9.24"/>
    <x v="140"/>
    <x v="0"/>
    <n v="1.9504461620383083E-3"/>
  </r>
  <r>
    <x v="17"/>
    <n v="5.74"/>
    <x v="141"/>
    <x v="0"/>
    <n v="1.9494376583350827E-3"/>
  </r>
  <r>
    <x v="40"/>
    <n v="7.18"/>
    <x v="142"/>
    <x v="1"/>
    <n v="1.9486812805576638E-3"/>
  </r>
  <r>
    <x v="16"/>
    <n v="8.1"/>
    <x v="143"/>
    <x v="1"/>
    <n v="1.9454036435221803E-3"/>
  </r>
  <r>
    <x v="10"/>
    <n v="8.92"/>
    <x v="144"/>
    <x v="1"/>
    <n v="1.9451515175963742E-3"/>
  </r>
  <r>
    <x v="1"/>
    <n v="10.9"/>
    <x v="145"/>
    <x v="0"/>
    <n v="1.9446472657447611E-3"/>
  </r>
  <r>
    <x v="21"/>
    <n v="9.0299999999999994"/>
    <x v="146"/>
    <x v="1"/>
    <n v="1.9431345101899227E-3"/>
  </r>
  <r>
    <x v="44"/>
    <n v="8.24"/>
    <x v="147"/>
    <x v="1"/>
    <n v="1.9403611250060522E-3"/>
  </r>
  <r>
    <x v="22"/>
    <n v="6.56"/>
    <x v="148"/>
    <x v="0"/>
    <n v="1.9338058509350861E-3"/>
  </r>
  <r>
    <x v="22"/>
    <n v="9.2799999999999994"/>
    <x v="149"/>
    <x v="1"/>
    <n v="1.93002396204799E-3"/>
  </r>
  <r>
    <x v="45"/>
    <n v="4.4400000000000004"/>
    <x v="150"/>
    <x v="1"/>
    <n v="1.9280069546415387E-3"/>
  </r>
  <r>
    <x v="16"/>
    <n v="9.1999999999999993"/>
    <x v="151"/>
    <x v="1"/>
    <n v="1.9259899472350876E-3"/>
  </r>
  <r>
    <x v="1"/>
    <n v="4.96"/>
    <x v="152"/>
    <x v="0"/>
    <n v="1.925485695383475E-3"/>
  </r>
  <r>
    <x v="46"/>
    <n v="6.91"/>
    <x v="152"/>
    <x v="0"/>
    <n v="1.925485695383475E-3"/>
  </r>
  <r>
    <x v="12"/>
    <n v="4.78"/>
    <x v="153"/>
    <x v="0"/>
    <n v="1.9229644361254106E-3"/>
  </r>
  <r>
    <x v="22"/>
    <n v="8.83"/>
    <x v="153"/>
    <x v="0"/>
    <n v="1.9229644361254106E-3"/>
  </r>
  <r>
    <x v="34"/>
    <n v="6.5"/>
    <x v="154"/>
    <x v="1"/>
    <n v="1.9164091620544445E-3"/>
  </r>
  <r>
    <x v="4"/>
    <n v="7.38"/>
    <x v="155"/>
    <x v="0"/>
    <n v="1.909853887983478E-3"/>
  </r>
  <r>
    <x v="16"/>
    <n v="9.99"/>
    <x v="156"/>
    <x v="1"/>
    <n v="1.9096017620576714E-3"/>
  </r>
  <r>
    <x v="15"/>
    <n v="9.42"/>
    <x v="157"/>
    <x v="1"/>
    <n v="1.9025422361350923E-3"/>
  </r>
  <r>
    <x v="32"/>
    <n v="7.73"/>
    <x v="158"/>
    <x v="0"/>
    <n v="1.9017858583576734E-3"/>
  </r>
  <r>
    <x v="25"/>
    <n v="9.4700000000000006"/>
    <x v="159"/>
    <x v="0"/>
    <n v="1.8929614509544492E-3"/>
  </r>
  <r>
    <x v="16"/>
    <n v="7.54"/>
    <x v="160"/>
    <x v="1"/>
    <n v="1.8917008213254172E-3"/>
  </r>
  <r>
    <x v="27"/>
    <n v="11.8"/>
    <x v="161"/>
    <x v="0"/>
    <n v="1.8901880657705788E-3"/>
  </r>
  <r>
    <x v="3"/>
    <n v="6.86"/>
    <x v="162"/>
    <x v="1"/>
    <n v="1.8848934213286446E-3"/>
  </r>
  <r>
    <x v="25"/>
    <n v="8.14"/>
    <x v="163"/>
    <x v="0"/>
    <n v="1.8843891694770316E-3"/>
  </r>
  <r>
    <x v="9"/>
    <n v="5.58"/>
    <x v="164"/>
    <x v="0"/>
    <n v="1.8768253917028396E-3"/>
  </r>
  <r>
    <x v="12"/>
    <n v="6.68"/>
    <x v="165"/>
    <x v="0"/>
    <n v="1.8760690139254205E-3"/>
  </r>
  <r>
    <x v="17"/>
    <n v="9.23"/>
    <x v="166"/>
    <x v="1"/>
    <n v="1.8717828731867115E-3"/>
  </r>
  <r>
    <x v="10"/>
    <n v="9.73"/>
    <x v="167"/>
    <x v="1"/>
    <n v="1.8692616139286476E-3"/>
  </r>
  <r>
    <x v="9"/>
    <n v="5.05"/>
    <x v="168"/>
    <x v="0"/>
    <n v="1.8680009842996159E-3"/>
  </r>
  <r>
    <x v="47"/>
    <n v="8.7100000000000009"/>
    <x v="169"/>
    <x v="1"/>
    <n v="1.8634627176351004E-3"/>
  </r>
  <r>
    <x v="29"/>
    <n v="9.18"/>
    <x v="170"/>
    <x v="1"/>
    <n v="1.862454213931875E-3"/>
  </r>
  <r>
    <x v="16"/>
    <n v="7.57"/>
    <x v="171"/>
    <x v="0"/>
    <n v="1.8601850805996174E-3"/>
  </r>
  <r>
    <x v="13"/>
    <n v="7.6"/>
    <x v="172"/>
    <x v="1"/>
    <n v="1.859428702822198E-3"/>
  </r>
  <r>
    <x v="8"/>
    <n v="5.05"/>
    <x v="173"/>
    <x v="0"/>
    <n v="1.8579159472673595E-3"/>
  </r>
  <r>
    <x v="31"/>
    <n v="9.1999999999999993"/>
    <x v="174"/>
    <x v="0"/>
    <n v="1.8518649250480062E-3"/>
  </r>
  <r>
    <x v="46"/>
    <n v="6.32"/>
    <x v="175"/>
    <x v="0"/>
    <n v="1.8470745324576847E-3"/>
  </r>
  <r>
    <x v="48"/>
    <n v="6.78"/>
    <x v="176"/>
    <x v="0"/>
    <n v="1.8468224065318782E-3"/>
  </r>
  <r>
    <x v="21"/>
    <n v="8.8800000000000008"/>
    <x v="176"/>
    <x v="0"/>
    <n v="1.8468224065318782E-3"/>
  </r>
  <r>
    <x v="1"/>
    <n v="9.5299999999999994"/>
    <x v="177"/>
    <x v="0"/>
    <n v="1.8410235102383308E-3"/>
  </r>
  <r>
    <x v="9"/>
    <n v="8.74"/>
    <x v="178"/>
    <x v="0"/>
    <n v="1.8385022509802668E-3"/>
  </r>
  <r>
    <x v="52"/>
    <n v="8.69"/>
    <x v="179"/>
    <x v="0"/>
    <n v="1.8349724880189773E-3"/>
  </r>
  <r>
    <x v="16"/>
    <n v="8.39"/>
    <x v="180"/>
    <x v="1"/>
    <n v="1.8334597324641388E-3"/>
  </r>
  <r>
    <x v="6"/>
    <n v="9.19"/>
    <x v="181"/>
    <x v="1"/>
    <n v="1.8294257176512366E-3"/>
  </r>
  <r>
    <x v="49"/>
    <n v="8.98"/>
    <x v="182"/>
    <x v="1"/>
    <n v="1.8289214657996238E-3"/>
  </r>
  <r>
    <x v="20"/>
    <n v="9.1999999999999993"/>
    <x v="183"/>
    <x v="0"/>
    <n v="1.8281650880222046E-3"/>
  </r>
  <r>
    <x v="11"/>
    <n v="8.93"/>
    <x v="184"/>
    <x v="1"/>
    <n v="1.8264002065415596E-3"/>
  </r>
  <r>
    <x v="15"/>
    <n v="9.86"/>
    <x v="185"/>
    <x v="0"/>
    <n v="1.824131073209302E-3"/>
  </r>
  <r>
    <x v="2"/>
    <n v="8.1199999999999992"/>
    <x v="186"/>
    <x v="1"/>
    <n v="1.8216098139512381E-3"/>
  </r>
  <r>
    <x v="37"/>
    <n v="5.73"/>
    <x v="187"/>
    <x v="0"/>
    <n v="1.8148024139544654E-3"/>
  </r>
  <r>
    <x v="13"/>
    <n v="6.93"/>
    <x v="188"/>
    <x v="0"/>
    <n v="1.805725880625435E-3"/>
  </r>
  <r>
    <x v="49"/>
    <n v="7.33"/>
    <x v="189"/>
    <x v="0"/>
    <n v="1.8052216287738219E-3"/>
  </r>
  <r>
    <x v="0"/>
    <n v="7.81"/>
    <x v="190"/>
    <x v="0"/>
    <n v="1.8019439917383389E-3"/>
  </r>
  <r>
    <x v="7"/>
    <n v="6.16"/>
    <x v="191"/>
    <x v="1"/>
    <n v="1.7984142287770493E-3"/>
  </r>
  <r>
    <x v="1"/>
    <n v="9.59"/>
    <x v="192"/>
    <x v="1"/>
    <n v="1.7938759621125343E-3"/>
  </r>
  <r>
    <x v="53"/>
    <n v="5.61"/>
    <x v="193"/>
    <x v="0"/>
    <n v="1.7918589547060828E-3"/>
  </r>
  <r>
    <x v="6"/>
    <n v="8.6199999999999992"/>
    <x v="194"/>
    <x v="0"/>
    <n v="1.7911025769286638E-3"/>
  </r>
  <r>
    <x v="17"/>
    <n v="8.19"/>
    <x v="195"/>
    <x v="0"/>
    <n v="1.7870685621157612E-3"/>
  </r>
  <r>
    <x v="38"/>
    <n v="6.71"/>
    <x v="196"/>
    <x v="0"/>
    <n v="1.7835387991544716E-3"/>
  </r>
  <r>
    <x v="18"/>
    <n v="8.7200000000000006"/>
    <x v="197"/>
    <x v="1"/>
    <n v="1.7802611621189886E-3"/>
  </r>
  <r>
    <x v="44"/>
    <n v="6.16"/>
    <x v="198"/>
    <x v="1"/>
    <n v="1.7772356510093116E-3"/>
  </r>
  <r>
    <x v="3"/>
    <n v="8.34"/>
    <x v="199"/>
    <x v="0"/>
    <n v="1.7757228954544736E-3"/>
  </r>
  <r>
    <x v="49"/>
    <n v="9.33"/>
    <x v="200"/>
    <x v="0"/>
    <n v="1.7744622658254412E-3"/>
  </r>
  <r>
    <x v="24"/>
    <n v="5.5"/>
    <x v="201"/>
    <x v="0"/>
    <n v="1.7739580139738286E-3"/>
  </r>
  <r>
    <x v="54"/>
    <n v="5.34"/>
    <x v="202"/>
    <x v="1"/>
    <n v="1.770428251012539E-3"/>
  </r>
  <r>
    <x v="38"/>
    <n v="7.68"/>
    <x v="203"/>
    <x v="1"/>
    <n v="1.7663942361996366E-3"/>
  </r>
  <r>
    <x v="34"/>
    <n v="6.81"/>
    <x v="204"/>
    <x v="0"/>
    <n v="1.765889984348024E-3"/>
  </r>
  <r>
    <x v="16"/>
    <n v="4.0199999999999996"/>
    <x v="205"/>
    <x v="0"/>
    <n v="1.7648814806447981E-3"/>
  </r>
  <r>
    <x v="20"/>
    <n v="7.66"/>
    <x v="206"/>
    <x v="0"/>
    <n v="1.7613517176835085E-3"/>
  </r>
  <r>
    <x v="0"/>
    <n v="7.37"/>
    <x v="207"/>
    <x v="1"/>
    <n v="1.7550485695383485E-3"/>
  </r>
  <r>
    <x v="37"/>
    <n v="7.66"/>
    <x v="208"/>
    <x v="0"/>
    <n v="1.7421901473222221E-3"/>
  </r>
  <r>
    <x v="3"/>
    <n v="6.46"/>
    <x v="209"/>
    <x v="0"/>
    <n v="1.7414337695448028E-3"/>
  </r>
  <r>
    <x v="6"/>
    <n v="8.4700000000000006"/>
    <x v="210"/>
    <x v="1"/>
    <n v="1.7411816436189967E-3"/>
  </r>
  <r>
    <x v="5"/>
    <n v="9.15"/>
    <x v="211"/>
    <x v="1"/>
    <n v="1.7406773917673839E-3"/>
  </r>
  <r>
    <x v="0"/>
    <n v="8.6300000000000008"/>
    <x v="212"/>
    <x v="1"/>
    <n v="1.7386603843609323E-3"/>
  </r>
  <r>
    <x v="43"/>
    <n v="8.44"/>
    <x v="213"/>
    <x v="1"/>
    <n v="1.7373997547319006E-3"/>
  </r>
  <r>
    <x v="30"/>
    <n v="8.8000000000000007"/>
    <x v="214"/>
    <x v="1"/>
    <n v="1.7336178658448047E-3"/>
  </r>
  <r>
    <x v="22"/>
    <n v="8.6"/>
    <x v="215"/>
    <x v="1"/>
    <n v="1.7265583399222256E-3"/>
  </r>
  <r>
    <x v="22"/>
    <n v="9.02"/>
    <x v="216"/>
    <x v="0"/>
    <n v="1.7240370806641612E-3"/>
  </r>
  <r>
    <x v="12"/>
    <n v="9.0299999999999994"/>
    <x v="217"/>
    <x v="1"/>
    <n v="1.7210115695544847E-3"/>
  </r>
  <r>
    <x v="1"/>
    <n v="5.59"/>
    <x v="218"/>
    <x v="0"/>
    <n v="1.7174818065931951E-3"/>
  </r>
  <r>
    <x v="20"/>
    <n v="8.7200000000000006"/>
    <x v="219"/>
    <x v="1"/>
    <n v="1.7162211769641629E-3"/>
  </r>
  <r>
    <x v="43"/>
    <n v="9.07"/>
    <x v="220"/>
    <x v="1"/>
    <n v="1.714960547335131E-3"/>
  </r>
  <r>
    <x v="44"/>
    <n v="7.88"/>
    <x v="221"/>
    <x v="0"/>
    <n v="1.7131956658544864E-3"/>
  </r>
  <r>
    <x v="7"/>
    <n v="4.78"/>
    <x v="222"/>
    <x v="0"/>
    <n v="1.7111786584480351E-3"/>
  </r>
  <r>
    <x v="38"/>
    <n v="6.73"/>
    <x v="223"/>
    <x v="0"/>
    <n v="1.7079010214125518E-3"/>
  </r>
  <r>
    <x v="55"/>
    <n v="9.06"/>
    <x v="224"/>
    <x v="0"/>
    <n v="1.7058840140061005E-3"/>
  </r>
  <r>
    <x v="24"/>
    <n v="9.2100000000000009"/>
    <x v="225"/>
    <x v="0"/>
    <n v="1.7051276362286814E-3"/>
  </r>
  <r>
    <x v="42"/>
    <n v="6.36"/>
    <x v="226"/>
    <x v="1"/>
    <n v="1.7003372436383598E-3"/>
  </r>
  <r>
    <x v="2"/>
    <n v="7.71"/>
    <x v="227"/>
    <x v="1"/>
    <n v="1.6983202362319087E-3"/>
  </r>
  <r>
    <x v="17"/>
    <n v="8.68"/>
    <x v="227"/>
    <x v="1"/>
    <n v="1.6983202362319087E-3"/>
  </r>
  <r>
    <x v="41"/>
    <n v="13"/>
    <x v="228"/>
    <x v="0"/>
    <n v="1.6970596066028768E-3"/>
  </r>
  <r>
    <x v="49"/>
    <n v="1.8"/>
    <x v="229"/>
    <x v="0"/>
    <n v="1.6957989769738448E-3"/>
  </r>
  <r>
    <x v="35"/>
    <n v="6.05"/>
    <x v="230"/>
    <x v="0"/>
    <n v="1.6955468510480383E-3"/>
  </r>
  <r>
    <x v="20"/>
    <n v="5.79"/>
    <x v="231"/>
    <x v="0"/>
    <n v="1.6950425991964255E-3"/>
  </r>
  <r>
    <x v="17"/>
    <n v="11.1"/>
    <x v="232"/>
    <x v="0"/>
    <n v="1.6942862214190063E-3"/>
  </r>
  <r>
    <x v="9"/>
    <n v="9.07"/>
    <x v="233"/>
    <x v="1"/>
    <n v="1.6930255917899744E-3"/>
  </r>
  <r>
    <x v="9"/>
    <n v="9.56"/>
    <x v="234"/>
    <x v="0"/>
    <n v="1.6922692140125552E-3"/>
  </r>
  <r>
    <x v="56"/>
    <n v="9.6199999999999992"/>
    <x v="235"/>
    <x v="0"/>
    <n v="1.6910085843835228E-3"/>
  </r>
  <r>
    <x v="57"/>
    <n v="6.51"/>
    <x v="236"/>
    <x v="0"/>
    <n v="1.6897479547544909E-3"/>
  </r>
  <r>
    <x v="30"/>
    <n v="6.64"/>
    <x v="237"/>
    <x v="0"/>
    <n v="1.6882351991996524E-3"/>
  </r>
  <r>
    <x v="45"/>
    <n v="5.36"/>
    <x v="238"/>
    <x v="1"/>
    <n v="1.6857139399415887E-3"/>
  </r>
  <r>
    <x v="19"/>
    <n v="6.03"/>
    <x v="239"/>
    <x v="0"/>
    <n v="1.6821841769802991E-3"/>
  </r>
  <r>
    <x v="8"/>
    <n v="9.25"/>
    <x v="240"/>
    <x v="1"/>
    <n v="1.6819320510544926E-3"/>
  </r>
  <r>
    <x v="37"/>
    <n v="8.52"/>
    <x v="241"/>
    <x v="0"/>
    <n v="1.6804192954996543E-3"/>
  </r>
  <r>
    <x v="24"/>
    <n v="8.6999999999999993"/>
    <x v="242"/>
    <x v="0"/>
    <n v="1.6781501621673967E-3"/>
  </r>
  <r>
    <x v="53"/>
    <n v="6.69"/>
    <x v="243"/>
    <x v="0"/>
    <n v="1.6748725251319136E-3"/>
  </r>
  <r>
    <x v="7"/>
    <n v="7.98"/>
    <x v="244"/>
    <x v="1"/>
    <n v="1.6710906362448175E-3"/>
  </r>
  <r>
    <x v="40"/>
    <n v="7.73"/>
    <x v="245"/>
    <x v="0"/>
    <n v="1.6695778806899791E-3"/>
  </r>
  <r>
    <x v="45"/>
    <n v="7.91"/>
    <x v="246"/>
    <x v="1"/>
    <n v="1.6693257547641725E-3"/>
  </r>
  <r>
    <x v="58"/>
    <n v="8.85"/>
    <x v="247"/>
    <x v="0"/>
    <n v="1.6680651251351406E-3"/>
  </r>
  <r>
    <x v="32"/>
    <n v="7.3"/>
    <x v="248"/>
    <x v="0"/>
    <n v="1.6673087473577214E-3"/>
  </r>
  <r>
    <x v="22"/>
    <n v="7.9"/>
    <x v="249"/>
    <x v="1"/>
    <n v="1.6627704806932064E-3"/>
  </r>
  <r>
    <x v="28"/>
    <n v="8.64"/>
    <x v="250"/>
    <x v="1"/>
    <n v="1.6607534732867551E-3"/>
  </r>
  <r>
    <x v="20"/>
    <n v="8.1"/>
    <x v="251"/>
    <x v="0"/>
    <n v="1.659997095509336E-3"/>
  </r>
  <r>
    <x v="8"/>
    <n v="6.96"/>
    <x v="252"/>
    <x v="1"/>
    <n v="1.6489035547738544E-3"/>
  </r>
  <r>
    <x v="1"/>
    <n v="4.62"/>
    <x v="253"/>
    <x v="0"/>
    <n v="1.6478950510706288E-3"/>
  </r>
  <r>
    <x v="0"/>
    <n v="6.21"/>
    <x v="254"/>
    <x v="1"/>
    <n v="1.6458780436641774E-3"/>
  </r>
  <r>
    <x v="45"/>
    <n v="8.17"/>
    <x v="255"/>
    <x v="0"/>
    <n v="1.6453737918125648E-3"/>
  </r>
  <r>
    <x v="48"/>
    <n v="6.09"/>
    <x v="256"/>
    <x v="1"/>
    <n v="1.6441131621835324E-3"/>
  </r>
  <r>
    <x v="58"/>
    <n v="9.18"/>
    <x v="257"/>
    <x v="0"/>
    <n v="1.6436089103319198E-3"/>
  </r>
  <r>
    <x v="28"/>
    <n v="4.93"/>
    <x v="258"/>
    <x v="1"/>
    <n v="1.6428525325545007E-3"/>
  </r>
  <r>
    <x v="22"/>
    <n v="5.65"/>
    <x v="259"/>
    <x v="0"/>
    <n v="1.6393227695932109E-3"/>
  </r>
  <r>
    <x v="5"/>
    <n v="9.99"/>
    <x v="260"/>
    <x v="0"/>
    <n v="1.6345323770028894E-3"/>
  </r>
  <r>
    <x v="39"/>
    <n v="7.27"/>
    <x v="261"/>
    <x v="0"/>
    <n v="1.6310026140415998E-3"/>
  </r>
  <r>
    <x v="42"/>
    <n v="4.5"/>
    <x v="262"/>
    <x v="0"/>
    <n v="1.6304983621899872E-3"/>
  </r>
  <r>
    <x v="32"/>
    <n v="6.57"/>
    <x v="263"/>
    <x v="1"/>
    <n v="1.6289856066351487E-3"/>
  </r>
  <r>
    <x v="55"/>
    <n v="6.81"/>
    <x v="264"/>
    <x v="1"/>
    <n v="1.6287334807093422E-3"/>
  </r>
  <r>
    <x v="29"/>
    <n v="6.72"/>
    <x v="265"/>
    <x v="1"/>
    <n v="1.6274728510803102E-3"/>
  </r>
  <r>
    <x v="36"/>
    <n v="11.6"/>
    <x v="266"/>
    <x v="0"/>
    <n v="1.6262122214512782E-3"/>
  </r>
  <r>
    <x v="29"/>
    <n v="8.44"/>
    <x v="267"/>
    <x v="0"/>
    <n v="1.6226824584899887E-3"/>
  </r>
  <r>
    <x v="12"/>
    <n v="8.31"/>
    <x v="268"/>
    <x v="1"/>
    <n v="1.614110177012571E-3"/>
  </r>
  <r>
    <x v="12"/>
    <n v="7.84"/>
    <x v="269"/>
    <x v="0"/>
    <n v="1.6113367918287006E-3"/>
  </r>
  <r>
    <x v="49"/>
    <n v="7.52"/>
    <x v="270"/>
    <x v="1"/>
    <n v="1.6070506510899921E-3"/>
  </r>
  <r>
    <x v="58"/>
    <n v="9.27"/>
    <x v="271"/>
    <x v="1"/>
    <n v="1.6027645103512832E-3"/>
  </r>
  <r>
    <x v="5"/>
    <n v="6.49"/>
    <x v="272"/>
    <x v="0"/>
    <n v="1.6015038807222512E-3"/>
  </r>
  <r>
    <x v="10"/>
    <n v="6.38"/>
    <x v="273"/>
    <x v="1"/>
    <n v="1.6012517547964447E-3"/>
  </r>
  <r>
    <x v="24"/>
    <n v="6.96"/>
    <x v="274"/>
    <x v="1"/>
    <n v="1.6009996288706384E-3"/>
  </r>
  <r>
    <x v="15"/>
    <n v="5.12"/>
    <x v="275"/>
    <x v="1"/>
    <n v="1.5979741177609616E-3"/>
  </r>
  <r>
    <x v="10"/>
    <n v="7.3"/>
    <x v="276"/>
    <x v="0"/>
    <n v="1.5972177399835423E-3"/>
  </r>
  <r>
    <x v="31"/>
    <n v="9.66"/>
    <x v="277"/>
    <x v="0"/>
    <n v="1.596965614057736E-3"/>
  </r>
  <r>
    <x v="6"/>
    <n v="11"/>
    <x v="278"/>
    <x v="0"/>
    <n v="1.5964613622061231E-3"/>
  </r>
  <r>
    <x v="22"/>
    <n v="5.61"/>
    <x v="279"/>
    <x v="0"/>
    <n v="1.5931837251706399E-3"/>
  </r>
  <r>
    <x v="12"/>
    <n v="5.88"/>
    <x v="280"/>
    <x v="0"/>
    <n v="1.5909145918383825E-3"/>
  </r>
  <r>
    <x v="0"/>
    <n v="8.14"/>
    <x v="281"/>
    <x v="1"/>
    <n v="1.5901582140609631E-3"/>
  </r>
  <r>
    <x v="5"/>
    <n v="2.8"/>
    <x v="282"/>
    <x v="0"/>
    <n v="1.5883933325803183E-3"/>
  </r>
  <r>
    <x v="39"/>
    <n v="6.65"/>
    <x v="283"/>
    <x v="0"/>
    <n v="1.5878890807287055E-3"/>
  </r>
  <r>
    <x v="36"/>
    <n v="7.27"/>
    <x v="284"/>
    <x v="0"/>
    <n v="1.5873848288770927E-3"/>
  </r>
  <r>
    <x v="37"/>
    <n v="7.28"/>
    <x v="285"/>
    <x v="1"/>
    <n v="1.5866284510996735E-3"/>
  </r>
  <r>
    <x v="49"/>
    <n v="4.78"/>
    <x v="286"/>
    <x v="1"/>
    <n v="1.5863763251738672E-3"/>
  </r>
  <r>
    <x v="3"/>
    <n v="7.45"/>
    <x v="287"/>
    <x v="0"/>
    <n v="1.5846114436932224E-3"/>
  </r>
  <r>
    <x v="22"/>
    <n v="9.91"/>
    <x v="288"/>
    <x v="1"/>
    <n v="1.5810816807319329E-3"/>
  </r>
  <r>
    <x v="7"/>
    <n v="4.88"/>
    <x v="289"/>
    <x v="0"/>
    <n v="1.5793167992512881E-3"/>
  </r>
  <r>
    <x v="22"/>
    <n v="6.85"/>
    <x v="290"/>
    <x v="0"/>
    <n v="1.5772997918448368E-3"/>
  </r>
  <r>
    <x v="11"/>
    <n v="8.02"/>
    <x v="291"/>
    <x v="1"/>
    <n v="1.5765434140674176E-3"/>
  </r>
  <r>
    <x v="21"/>
    <n v="8.49"/>
    <x v="292"/>
    <x v="1"/>
    <n v="1.5760391622158048E-3"/>
  </r>
  <r>
    <x v="4"/>
    <n v="8"/>
    <x v="293"/>
    <x v="0"/>
    <n v="1.5747785325867728E-3"/>
  </r>
  <r>
    <x v="42"/>
    <n v="9.2100000000000009"/>
    <x v="294"/>
    <x v="1"/>
    <n v="1.5709966436996767E-3"/>
  </r>
  <r>
    <x v="0"/>
    <n v="7.31"/>
    <x v="295"/>
    <x v="1"/>
    <n v="1.5664583770351617E-3"/>
  </r>
  <r>
    <x v="25"/>
    <n v="7.22"/>
    <x v="296"/>
    <x v="1"/>
    <n v="1.5611637325932271E-3"/>
  </r>
  <r>
    <x v="37"/>
    <n v="6.8"/>
    <x v="297"/>
    <x v="0"/>
    <n v="1.5606594807416143E-3"/>
  </r>
  <r>
    <x v="32"/>
    <n v="8.7799999999999994"/>
    <x v="298"/>
    <x v="0"/>
    <n v="1.5599031029641952E-3"/>
  </r>
  <r>
    <x v="48"/>
    <n v="4.6900000000000004"/>
    <x v="299"/>
    <x v="0"/>
    <n v="1.5583903474093569E-3"/>
  </r>
  <r>
    <x v="35"/>
    <n v="7.93"/>
    <x v="300"/>
    <x v="0"/>
    <n v="1.5538520807448417E-3"/>
  </r>
  <r>
    <x v="7"/>
    <n v="6.28"/>
    <x v="301"/>
    <x v="0"/>
    <n v="1.5505744437093584E-3"/>
  </r>
  <r>
    <x v="44"/>
    <n v="5.67"/>
    <x v="302"/>
    <x v="0"/>
    <n v="1.5450276733416175E-3"/>
  </r>
  <r>
    <x v="48"/>
    <n v="5.53"/>
    <x v="303"/>
    <x v="0"/>
    <n v="1.5445234214900047E-3"/>
  </r>
  <r>
    <x v="30"/>
    <n v="9.44"/>
    <x v="304"/>
    <x v="0"/>
    <n v="1.5430106659351664E-3"/>
  </r>
  <r>
    <x v="43"/>
    <n v="6.96"/>
    <x v="305"/>
    <x v="0"/>
    <n v="1.5427585400093599E-3"/>
  </r>
  <r>
    <x v="58"/>
    <n v="9.01"/>
    <x v="306"/>
    <x v="1"/>
    <n v="1.5394809029738768E-3"/>
  </r>
  <r>
    <x v="35"/>
    <n v="7.7"/>
    <x v="307"/>
    <x v="0"/>
    <n v="1.5384723992706512E-3"/>
  </r>
  <r>
    <x v="29"/>
    <n v="4.1500000000000004"/>
    <x v="308"/>
    <x v="1"/>
    <n v="1.5273788585351696E-3"/>
  </r>
  <r>
    <x v="16"/>
    <n v="6.54"/>
    <x v="309"/>
    <x v="0"/>
    <n v="1.5253618511287183E-3"/>
  </r>
  <r>
    <x v="37"/>
    <n v="8.2200000000000006"/>
    <x v="310"/>
    <x v="1"/>
    <n v="1.525109725202912E-3"/>
  </r>
  <r>
    <x v="10"/>
    <n v="9"/>
    <x v="311"/>
    <x v="0"/>
    <n v="1.5157810659480752E-3"/>
  </r>
  <r>
    <x v="46"/>
    <n v="4.8499999999999996"/>
    <x v="312"/>
    <x v="0"/>
    <n v="1.5109906733577537E-3"/>
  </r>
  <r>
    <x v="29"/>
    <n v="6.45"/>
    <x v="313"/>
    <x v="1"/>
    <n v="1.5062002807674322E-3"/>
  </r>
  <r>
    <x v="35"/>
    <n v="9.17"/>
    <x v="314"/>
    <x v="0"/>
    <n v="1.5031747696577552E-3"/>
  </r>
  <r>
    <x v="22"/>
    <n v="8.6199999999999992"/>
    <x v="315"/>
    <x v="0"/>
    <n v="1.4993928807706593E-3"/>
  </r>
  <r>
    <x v="53"/>
    <n v="6.76"/>
    <x v="316"/>
    <x v="1"/>
    <n v="1.497375873364208E-3"/>
  </r>
  <r>
    <x v="46"/>
    <n v="6.27"/>
    <x v="317"/>
    <x v="0"/>
    <n v="1.4953588659577569E-3"/>
  </r>
  <r>
    <x v="7"/>
    <n v="6.25"/>
    <x v="318"/>
    <x v="0"/>
    <n v="1.4933418585513056E-3"/>
  </r>
  <r>
    <x v="22"/>
    <n v="5.18"/>
    <x v="319"/>
    <x v="0"/>
    <n v="1.4918291029964673E-3"/>
  </r>
  <r>
    <x v="22"/>
    <n v="4"/>
    <x v="320"/>
    <x v="0"/>
    <n v="1.4872908363319521E-3"/>
  </r>
  <r>
    <x v="11"/>
    <n v="3"/>
    <x v="321"/>
    <x v="0"/>
    <n v="1.4847695770738882E-3"/>
  </r>
  <r>
    <x v="21"/>
    <n v="6.97"/>
    <x v="322"/>
    <x v="1"/>
    <n v="1.4840131992964688E-3"/>
  </r>
  <r>
    <x v="40"/>
    <n v="6.28"/>
    <x v="323"/>
    <x v="1"/>
    <n v="1.4837610733706625E-3"/>
  </r>
  <r>
    <x v="28"/>
    <n v="5.59"/>
    <x v="324"/>
    <x v="0"/>
    <n v="1.4726675326351807E-3"/>
  </r>
  <r>
    <x v="27"/>
    <n v="9.3000000000000007"/>
    <x v="325"/>
    <x v="0"/>
    <n v="1.4688856437480849E-3"/>
  </r>
  <r>
    <x v="12"/>
    <n v="5.0999999999999996"/>
    <x v="326"/>
    <x v="0"/>
    <n v="1.4666165104158272E-3"/>
  </r>
  <r>
    <x v="32"/>
    <n v="7.59"/>
    <x v="327"/>
    <x v="1"/>
    <n v="1.4625824956029248E-3"/>
  </r>
  <r>
    <x v="38"/>
    <n v="7.67"/>
    <x v="327"/>
    <x v="0"/>
    <n v="1.4625824956029248E-3"/>
  </r>
  <r>
    <x v="0"/>
    <n v="4.76"/>
    <x v="328"/>
    <x v="1"/>
    <n v="1.4623303696771185E-3"/>
  </r>
  <r>
    <x v="37"/>
    <n v="4.24"/>
    <x v="329"/>
    <x v="0"/>
    <n v="1.4610697400480866E-3"/>
  </r>
  <r>
    <x v="9"/>
    <n v="7.37"/>
    <x v="330"/>
    <x v="1"/>
    <n v="1.4598091104190544E-3"/>
  </r>
  <r>
    <x v="39"/>
    <n v="9.58"/>
    <x v="331"/>
    <x v="0"/>
    <n v="1.4580442289384096E-3"/>
  </r>
  <r>
    <x v="39"/>
    <n v="9.5299999999999994"/>
    <x v="332"/>
    <x v="0"/>
    <n v="1.4522453326448626E-3"/>
  </r>
  <r>
    <x v="22"/>
    <n v="4.67"/>
    <x v="333"/>
    <x v="1"/>
    <n v="1.4504804511642178E-3"/>
  </r>
  <r>
    <x v="36"/>
    <n v="6.69"/>
    <x v="334"/>
    <x v="1"/>
    <n v="1.4489676956093793E-3"/>
  </r>
  <r>
    <x v="10"/>
    <n v="5.87"/>
    <x v="335"/>
    <x v="1"/>
    <n v="1.4479591919061537E-3"/>
  </r>
  <r>
    <x v="12"/>
    <n v="7.69"/>
    <x v="336"/>
    <x v="0"/>
    <n v="1.4477070659803474E-3"/>
  </r>
  <r>
    <x v="45"/>
    <n v="6.99"/>
    <x v="337"/>
    <x v="0"/>
    <n v="1.4416560437609937E-3"/>
  </r>
  <r>
    <x v="45"/>
    <n v="7.45"/>
    <x v="338"/>
    <x v="1"/>
    <n v="1.4411517919093808E-3"/>
  </r>
  <r>
    <x v="12"/>
    <n v="7.31"/>
    <x v="339"/>
    <x v="1"/>
    <n v="1.4376220289480915E-3"/>
  </r>
  <r>
    <x v="46"/>
    <n v="12.2"/>
    <x v="340"/>
    <x v="0"/>
    <n v="1.437369903022285E-3"/>
  </r>
  <r>
    <x v="10"/>
    <n v="7.33"/>
    <x v="341"/>
    <x v="1"/>
    <n v="1.4371177770964784E-3"/>
  </r>
  <r>
    <x v="21"/>
    <n v="5.98"/>
    <x v="342"/>
    <x v="0"/>
    <n v="1.4320752585803504E-3"/>
  </r>
  <r>
    <x v="14"/>
    <n v="7.34"/>
    <x v="343"/>
    <x v="1"/>
    <n v="1.4295539993222867E-3"/>
  </r>
  <r>
    <x v="36"/>
    <n v="7.21"/>
    <x v="344"/>
    <x v="1"/>
    <n v="1.4285454956190608E-3"/>
  </r>
  <r>
    <x v="15"/>
    <n v="5.83"/>
    <x v="345"/>
    <x v="0"/>
    <n v="1.4267806141384162E-3"/>
  </r>
  <r>
    <x v="7"/>
    <n v="8.39"/>
    <x v="346"/>
    <x v="1"/>
    <n v="1.4257721104351904E-3"/>
  </r>
  <r>
    <x v="45"/>
    <n v="5.66"/>
    <x v="347"/>
    <x v="0"/>
    <n v="1.4217380956222882E-3"/>
  </r>
  <r>
    <x v="8"/>
    <n v="11.4"/>
    <x v="348"/>
    <x v="0"/>
    <n v="1.4212338437706753E-3"/>
  </r>
  <r>
    <x v="5"/>
    <n v="5.91"/>
    <x v="349"/>
    <x v="1"/>
    <n v="1.4209817178448688E-3"/>
  </r>
  <r>
    <x v="10"/>
    <n v="6.34"/>
    <x v="350"/>
    <x v="0"/>
    <n v="1.4139221919222897E-3"/>
  </r>
  <r>
    <x v="11"/>
    <n v="7.98"/>
    <x v="351"/>
    <x v="0"/>
    <n v="1.4103924289610001E-3"/>
  </r>
  <r>
    <x v="9"/>
    <n v="7.46"/>
    <x v="352"/>
    <x v="0"/>
    <n v="1.4088796734061618E-3"/>
  </r>
  <r>
    <x v="31"/>
    <n v="9.25"/>
    <x v="353"/>
    <x v="0"/>
    <n v="1.4050977845190657E-3"/>
  </r>
  <r>
    <x v="59"/>
    <n v="6.65"/>
    <x v="354"/>
    <x v="0"/>
    <n v="1.4025765252610018E-3"/>
  </r>
  <r>
    <x v="28"/>
    <n v="6.82"/>
    <x v="355"/>
    <x v="1"/>
    <n v="1.4018201474835827E-3"/>
  </r>
  <r>
    <x v="13"/>
    <n v="8.86"/>
    <x v="356"/>
    <x v="1"/>
    <n v="1.3992988882255185E-3"/>
  </r>
  <r>
    <x v="60"/>
    <n v="6.17"/>
    <x v="357"/>
    <x v="1"/>
    <n v="1.3982903845222931E-3"/>
  </r>
  <r>
    <x v="5"/>
    <n v="6.66"/>
    <x v="358"/>
    <x v="0"/>
    <n v="1.3972818808190674E-3"/>
  </r>
  <r>
    <x v="35"/>
    <n v="6.06"/>
    <x v="359"/>
    <x v="1"/>
    <n v="1.3970297548932609E-3"/>
  </r>
  <r>
    <x v="35"/>
    <n v="9.66"/>
    <x v="360"/>
    <x v="0"/>
    <n v="1.3965255030416481E-3"/>
  </r>
  <r>
    <x v="20"/>
    <n v="6.09"/>
    <x v="361"/>
    <x v="0"/>
    <n v="1.394508495635197E-3"/>
  </r>
  <r>
    <x v="24"/>
    <n v="9.27"/>
    <x v="362"/>
    <x v="0"/>
    <n v="1.3942563697093905E-3"/>
  </r>
  <r>
    <x v="39"/>
    <n v="7.87"/>
    <x v="363"/>
    <x v="0"/>
    <n v="1.3919872363771331E-3"/>
  </r>
  <r>
    <x v="46"/>
    <n v="5.96"/>
    <x v="364"/>
    <x v="1"/>
    <n v="1.3892138511932626E-3"/>
  </r>
  <r>
    <x v="44"/>
    <n v="7.11"/>
    <x v="365"/>
    <x v="1"/>
    <n v="1.3884574734158433E-3"/>
  </r>
  <r>
    <x v="45"/>
    <n v="6.43"/>
    <x v="366"/>
    <x v="1"/>
    <n v="1.3854319623061667E-3"/>
  </r>
  <r>
    <x v="4"/>
    <n v="6.24"/>
    <x v="367"/>
    <x v="0"/>
    <n v="1.3849277104545537E-3"/>
  </r>
  <r>
    <x v="6"/>
    <n v="5.91"/>
    <x v="368"/>
    <x v="0"/>
    <n v="1.3829107030481026E-3"/>
  </r>
  <r>
    <x v="37"/>
    <n v="6.85"/>
    <x v="369"/>
    <x v="0"/>
    <n v="1.3801373178642321E-3"/>
  </r>
  <r>
    <x v="13"/>
    <n v="7.58"/>
    <x v="370"/>
    <x v="0"/>
    <n v="1.379380940086813E-3"/>
  </r>
  <r>
    <x v="8"/>
    <n v="6.63"/>
    <x v="371"/>
    <x v="1"/>
    <n v="1.3758511771255234E-3"/>
  </r>
  <r>
    <x v="38"/>
    <n v="7.52"/>
    <x v="371"/>
    <x v="1"/>
    <n v="1.3758511771255234E-3"/>
  </r>
  <r>
    <x v="1"/>
    <n v="6.65"/>
    <x v="372"/>
    <x v="0"/>
    <n v="1.3755990511997171E-3"/>
  </r>
  <r>
    <x v="47"/>
    <n v="6.06"/>
    <x v="373"/>
    <x v="0"/>
    <n v="1.374338421570685E-3"/>
  </r>
  <r>
    <x v="8"/>
    <n v="8.41"/>
    <x v="374"/>
    <x v="0"/>
    <n v="1.3738341697190721E-3"/>
  </r>
  <r>
    <x v="6"/>
    <n v="6.99"/>
    <x v="375"/>
    <x v="1"/>
    <n v="1.3695480289803634E-3"/>
  </r>
  <r>
    <x v="45"/>
    <n v="7.75"/>
    <x v="376"/>
    <x v="1"/>
    <n v="1.3685395252771378E-3"/>
  </r>
  <r>
    <x v="8"/>
    <n v="7.7"/>
    <x v="377"/>
    <x v="1"/>
    <n v="1.3604714956513329E-3"/>
  </r>
  <r>
    <x v="0"/>
    <n v="6.23"/>
    <x v="378"/>
    <x v="1"/>
    <n v="1.359210866022301E-3"/>
  </r>
  <r>
    <x v="9"/>
    <n v="8.08"/>
    <x v="379"/>
    <x v="0"/>
    <n v="1.3518992141739153E-3"/>
  </r>
  <r>
    <x v="16"/>
    <n v="7.31"/>
    <x v="380"/>
    <x v="0"/>
    <n v="1.3506385845448833E-3"/>
  </r>
  <r>
    <x v="31"/>
    <n v="4.87"/>
    <x v="381"/>
    <x v="0"/>
    <n v="1.3493779549158514E-3"/>
  </r>
  <r>
    <x v="27"/>
    <n v="8.9700000000000006"/>
    <x v="382"/>
    <x v="0"/>
    <n v="1.3491258289900449E-3"/>
  </r>
  <r>
    <x v="12"/>
    <n v="5.93"/>
    <x v="383"/>
    <x v="1"/>
    <n v="1.3466045697319809E-3"/>
  </r>
  <r>
    <x v="5"/>
    <n v="9.65"/>
    <x v="383"/>
    <x v="1"/>
    <n v="1.3466045697319809E-3"/>
  </r>
  <r>
    <x v="1"/>
    <n v="7.42"/>
    <x v="384"/>
    <x v="0"/>
    <n v="1.3463524438061746E-3"/>
  </r>
  <r>
    <x v="61"/>
    <n v="5.36"/>
    <x v="385"/>
    <x v="1"/>
    <n v="1.3413099252900468E-3"/>
  </r>
  <r>
    <x v="55"/>
    <n v="7.93"/>
    <x v="386"/>
    <x v="0"/>
    <n v="1.3405535475126274E-3"/>
  </r>
  <r>
    <x v="25"/>
    <n v="5.45"/>
    <x v="387"/>
    <x v="0"/>
    <n v="1.3362674067739185E-3"/>
  </r>
  <r>
    <x v="13"/>
    <n v="7.97"/>
    <x v="388"/>
    <x v="1"/>
    <n v="1.3355110289964994E-3"/>
  </r>
  <r>
    <x v="31"/>
    <n v="4.22"/>
    <x v="389"/>
    <x v="0"/>
    <n v="1.3345025252932737E-3"/>
  </r>
  <r>
    <x v="35"/>
    <n v="6.91"/>
    <x v="389"/>
    <x v="0"/>
    <n v="1.3345025252932737E-3"/>
  </r>
  <r>
    <x v="29"/>
    <n v="8.61"/>
    <x v="390"/>
    <x v="1"/>
    <n v="1.3339982734416609E-3"/>
  </r>
  <r>
    <x v="46"/>
    <n v="6.59"/>
    <x v="391"/>
    <x v="1"/>
    <n v="1.3329897697384355E-3"/>
  </r>
  <r>
    <x v="16"/>
    <n v="6.06"/>
    <x v="392"/>
    <x v="1"/>
    <n v="1.3322333919610163E-3"/>
  </r>
  <r>
    <x v="40"/>
    <n v="5.15"/>
    <x v="393"/>
    <x v="1"/>
    <n v="1.3264344956674689E-3"/>
  </r>
  <r>
    <x v="16"/>
    <n v="4.3"/>
    <x v="394"/>
    <x v="1"/>
    <n v="1.323913236409405E-3"/>
  </r>
  <r>
    <x v="51"/>
    <n v="6.64"/>
    <x v="394"/>
    <x v="1"/>
    <n v="1.323913236409405E-3"/>
  </r>
  <r>
    <x v="55"/>
    <n v="5.45"/>
    <x v="395"/>
    <x v="1"/>
    <n v="1.3224004808545667E-3"/>
  </r>
  <r>
    <x v="10"/>
    <n v="7.46"/>
    <x v="396"/>
    <x v="0"/>
    <n v="1.3211398512255345E-3"/>
  </r>
  <r>
    <x v="49"/>
    <n v="6.34"/>
    <x v="397"/>
    <x v="1"/>
    <n v="1.3201313475223091E-3"/>
  </r>
  <r>
    <x v="14"/>
    <n v="6.82"/>
    <x v="398"/>
    <x v="1"/>
    <n v="1.3186185919674706E-3"/>
  </r>
  <r>
    <x v="0"/>
    <n v="5.31"/>
    <x v="399"/>
    <x v="0"/>
    <n v="1.3135760734513428E-3"/>
  </r>
  <r>
    <x v="13"/>
    <n v="7.21"/>
    <x v="400"/>
    <x v="1"/>
    <n v="1.3130718215997297E-3"/>
  </r>
  <r>
    <x v="35"/>
    <n v="9.1"/>
    <x v="401"/>
    <x v="0"/>
    <n v="1.3128196956739234E-3"/>
  </r>
  <r>
    <x v="34"/>
    <n v="2.2999999999999998"/>
    <x v="402"/>
    <x v="0"/>
    <n v="1.3108026882674723E-3"/>
  </r>
  <r>
    <x v="34"/>
    <n v="3.5"/>
    <x v="403"/>
    <x v="0"/>
    <n v="1.3105505623416658E-3"/>
  </r>
  <r>
    <x v="0"/>
    <n v="6.82"/>
    <x v="404"/>
    <x v="0"/>
    <n v="1.3102984364158595E-3"/>
  </r>
  <r>
    <x v="14"/>
    <n v="9.8800000000000008"/>
    <x v="405"/>
    <x v="0"/>
    <n v="1.3082814290094082E-3"/>
  </r>
  <r>
    <x v="44"/>
    <n v="10.6"/>
    <x v="406"/>
    <x v="0"/>
    <n v="1.3065165475287634E-3"/>
  </r>
  <r>
    <x v="13"/>
    <n v="5.34"/>
    <x v="407"/>
    <x v="1"/>
    <n v="1.3032389104932801E-3"/>
  </r>
  <r>
    <x v="37"/>
    <n v="4.04"/>
    <x v="408"/>
    <x v="0"/>
    <n v="1.3027346586416675E-3"/>
  </r>
  <r>
    <x v="19"/>
    <n v="4.6399999999999997"/>
    <x v="408"/>
    <x v="1"/>
    <n v="1.3027346586416675E-3"/>
  </r>
  <r>
    <x v="46"/>
    <n v="5.88"/>
    <x v="409"/>
    <x v="0"/>
    <n v="1.2966836364223138E-3"/>
  </r>
  <r>
    <x v="14"/>
    <n v="7.31"/>
    <x v="410"/>
    <x v="0"/>
    <n v="1.294918754941669E-3"/>
  </r>
  <r>
    <x v="28"/>
    <n v="5.15"/>
    <x v="411"/>
    <x v="1"/>
    <n v="1.2946666290158627E-3"/>
  </r>
  <r>
    <x v="2"/>
    <n v="6.22"/>
    <x v="412"/>
    <x v="1"/>
    <n v="1.2941623771642499E-3"/>
  </r>
  <r>
    <x v="2"/>
    <n v="5.63"/>
    <x v="413"/>
    <x v="1"/>
    <n v="1.2893719845739283E-3"/>
  </r>
  <r>
    <x v="36"/>
    <n v="9.75"/>
    <x v="414"/>
    <x v="1"/>
    <n v="1.2888677327223153E-3"/>
  </r>
  <r>
    <x v="14"/>
    <n v="4.75"/>
    <x v="415"/>
    <x v="1"/>
    <n v="1.2858422216126388E-3"/>
  </r>
  <r>
    <x v="19"/>
    <n v="5.0999999999999996"/>
    <x v="415"/>
    <x v="0"/>
    <n v="1.2858422216126388E-3"/>
  </r>
  <r>
    <x v="21"/>
    <n v="5.86"/>
    <x v="416"/>
    <x v="0"/>
    <n v="1.2843294660578003E-3"/>
  </r>
  <r>
    <x v="43"/>
    <n v="3.9"/>
    <x v="417"/>
    <x v="0"/>
    <n v="1.2840773401319938E-3"/>
  </r>
  <r>
    <x v="10"/>
    <n v="6.55"/>
    <x v="418"/>
    <x v="1"/>
    <n v="1.2815560808739298E-3"/>
  </r>
  <r>
    <x v="14"/>
    <n v="6.92"/>
    <x v="419"/>
    <x v="0"/>
    <n v="1.2807997030965107E-3"/>
  </r>
  <r>
    <x v="34"/>
    <n v="4.3"/>
    <x v="420"/>
    <x v="1"/>
    <n v="1.2792869475416722E-3"/>
  </r>
  <r>
    <x v="60"/>
    <n v="5.58"/>
    <x v="421"/>
    <x v="0"/>
    <n v="1.2772699401352209E-3"/>
  </r>
  <r>
    <x v="46"/>
    <n v="8.2899999999999991"/>
    <x v="422"/>
    <x v="0"/>
    <n v="1.2770178142094146E-3"/>
  </r>
  <r>
    <x v="51"/>
    <n v="6.33"/>
    <x v="423"/>
    <x v="1"/>
    <n v="1.2762614364319955E-3"/>
  </r>
  <r>
    <x v="34"/>
    <n v="9.9600000000000009"/>
    <x v="424"/>
    <x v="1"/>
    <n v="1.2760093105061892E-3"/>
  </r>
  <r>
    <x v="28"/>
    <n v="5.38"/>
    <x v="425"/>
    <x v="1"/>
    <n v="1.2722274216190931E-3"/>
  </r>
  <r>
    <x v="32"/>
    <n v="3.8"/>
    <x v="426"/>
    <x v="0"/>
    <n v="1.2692019105094163E-3"/>
  </r>
  <r>
    <x v="27"/>
    <n v="4.34"/>
    <x v="427"/>
    <x v="1"/>
    <n v="1.2689497845836098E-3"/>
  </r>
  <r>
    <x v="22"/>
    <n v="6.46"/>
    <x v="427"/>
    <x v="0"/>
    <n v="1.2689497845836098E-3"/>
  </r>
  <r>
    <x v="6"/>
    <n v="7.6"/>
    <x v="428"/>
    <x v="1"/>
    <n v="1.2679412808803843E-3"/>
  </r>
  <r>
    <x v="34"/>
    <n v="5.67"/>
    <x v="429"/>
    <x v="1"/>
    <n v="1.2674370290287715E-3"/>
  </r>
  <r>
    <x v="31"/>
    <n v="6.67"/>
    <x v="430"/>
    <x v="0"/>
    <n v="1.2651678956965139E-3"/>
  </r>
  <r>
    <x v="58"/>
    <n v="4.68"/>
    <x v="431"/>
    <x v="1"/>
    <n v="1.2623945105126435E-3"/>
  </r>
  <r>
    <x v="10"/>
    <n v="8.94"/>
    <x v="432"/>
    <x v="0"/>
    <n v="1.2586126216255476E-3"/>
  </r>
  <r>
    <x v="9"/>
    <n v="4.68"/>
    <x v="433"/>
    <x v="1"/>
    <n v="1.2558392364416771E-3"/>
  </r>
  <r>
    <x v="4"/>
    <n v="7.48"/>
    <x v="434"/>
    <x v="0"/>
    <n v="1.2555871105158706E-3"/>
  </r>
  <r>
    <x v="11"/>
    <n v="5.47"/>
    <x v="435"/>
    <x v="1"/>
    <n v="1.2507967179255491E-3"/>
  </r>
  <r>
    <x v="28"/>
    <n v="6.12"/>
    <x v="436"/>
    <x v="1"/>
    <n v="1.2490318364449043E-3"/>
  </r>
  <r>
    <x v="7"/>
    <n v="5.97"/>
    <x v="437"/>
    <x v="0"/>
    <n v="1.2475190808900658E-3"/>
  </r>
  <r>
    <x v="27"/>
    <n v="4.1500000000000004"/>
    <x v="438"/>
    <x v="1"/>
    <n v="1.2422244364481316E-3"/>
  </r>
  <r>
    <x v="20"/>
    <n v="5.7"/>
    <x v="439"/>
    <x v="1"/>
    <n v="1.2414680586707123E-3"/>
  </r>
  <r>
    <x v="29"/>
    <n v="6.15"/>
    <x v="440"/>
    <x v="0"/>
    <n v="1.2351649105255523E-3"/>
  </r>
  <r>
    <x v="17"/>
    <n v="7.05"/>
    <x v="441"/>
    <x v="1"/>
    <n v="1.2311308957126499E-3"/>
  </r>
  <r>
    <x v="16"/>
    <n v="5.66"/>
    <x v="442"/>
    <x v="1"/>
    <n v="1.2303745179352307E-3"/>
  </r>
  <r>
    <x v="14"/>
    <n v="3.6"/>
    <x v="443"/>
    <x v="0"/>
    <n v="1.2245756216416835E-3"/>
  </r>
  <r>
    <x v="4"/>
    <n v="7.19"/>
    <x v="444"/>
    <x v="0"/>
    <n v="1.2202894809029746E-3"/>
  </r>
  <r>
    <x v="5"/>
    <n v="5.22"/>
    <x v="445"/>
    <x v="1"/>
    <n v="1.216759717941685E-3"/>
  </r>
  <r>
    <x v="11"/>
    <n v="7.07"/>
    <x v="446"/>
    <x v="0"/>
    <n v="1.2147427105352339E-3"/>
  </r>
  <r>
    <x v="7"/>
    <n v="2.4"/>
    <x v="447"/>
    <x v="0"/>
    <n v="1.2137342068320083E-3"/>
  </r>
  <r>
    <x v="36"/>
    <n v="6.96"/>
    <x v="448"/>
    <x v="0"/>
    <n v="1.2097001920191059E-3"/>
  </r>
  <r>
    <x v="45"/>
    <n v="9.5"/>
    <x v="449"/>
    <x v="0"/>
    <n v="1.2079353105384611E-3"/>
  </r>
  <r>
    <x v="53"/>
    <n v="7.37"/>
    <x v="450"/>
    <x v="0"/>
    <n v="1.2039012957255587E-3"/>
  </r>
  <r>
    <x v="22"/>
    <n v="4.05"/>
    <x v="451"/>
    <x v="1"/>
    <n v="1.2036491697997524E-3"/>
  </r>
  <r>
    <x v="34"/>
    <n v="6.7"/>
    <x v="451"/>
    <x v="0"/>
    <n v="1.2036491697997524E-3"/>
  </r>
  <r>
    <x v="9"/>
    <n v="6.33"/>
    <x v="452"/>
    <x v="0"/>
    <n v="1.2023885401707202E-3"/>
  </r>
  <r>
    <x v="51"/>
    <n v="5.46"/>
    <x v="453"/>
    <x v="1"/>
    <n v="1.2003715327642691E-3"/>
  </r>
  <r>
    <x v="34"/>
    <n v="5.68"/>
    <x v="454"/>
    <x v="0"/>
    <n v="1.1975981475803987E-3"/>
  </r>
  <r>
    <x v="1"/>
    <n v="8.98"/>
    <x v="455"/>
    <x v="0"/>
    <n v="1.1943205105449156E-3"/>
  </r>
  <r>
    <x v="0"/>
    <n v="8.91"/>
    <x v="456"/>
    <x v="0"/>
    <n v="1.1925556290642706E-3"/>
  </r>
  <r>
    <x v="32"/>
    <n v="5.0999999999999996"/>
    <x v="457"/>
    <x v="1"/>
    <n v="1.1905386216578195E-3"/>
  </r>
  <r>
    <x v="38"/>
    <n v="5.61"/>
    <x v="457"/>
    <x v="0"/>
    <n v="1.1905386216578195E-3"/>
  </r>
  <r>
    <x v="2"/>
    <n v="5.44"/>
    <x v="458"/>
    <x v="0"/>
    <n v="1.1860003549933043E-3"/>
  </r>
  <r>
    <x v="55"/>
    <n v="4.5599999999999996"/>
    <x v="459"/>
    <x v="1"/>
    <n v="1.1824705920320147E-3"/>
  </r>
  <r>
    <x v="17"/>
    <n v="5.14"/>
    <x v="460"/>
    <x v="1"/>
    <n v="1.1799493327739508E-3"/>
  </r>
  <r>
    <x v="13"/>
    <n v="5.29"/>
    <x v="461"/>
    <x v="1"/>
    <n v="1.1791929549965316E-3"/>
  </r>
  <r>
    <x v="21"/>
    <n v="5.77"/>
    <x v="462"/>
    <x v="1"/>
    <n v="1.1789408290707251E-3"/>
  </r>
  <r>
    <x v="11"/>
    <n v="5.38"/>
    <x v="463"/>
    <x v="1"/>
    <n v="1.1738983105545973E-3"/>
  </r>
  <r>
    <x v="29"/>
    <n v="8.27"/>
    <x v="463"/>
    <x v="0"/>
    <n v="1.1738983105545973E-3"/>
  </r>
  <r>
    <x v="9"/>
    <n v="4.88"/>
    <x v="464"/>
    <x v="1"/>
    <n v="1.1680994142610499E-3"/>
  </r>
  <r>
    <x v="62"/>
    <n v="4.6900000000000004"/>
    <x v="465"/>
    <x v="1"/>
    <n v="1.1658302809287925E-3"/>
  </r>
  <r>
    <x v="31"/>
    <n v="5.64"/>
    <x v="466"/>
    <x v="1"/>
    <n v="1.1640653994481477E-3"/>
  </r>
  <r>
    <x v="43"/>
    <n v="4.5199999999999996"/>
    <x v="467"/>
    <x v="1"/>
    <n v="1.1577622513029876E-3"/>
  </r>
  <r>
    <x v="7"/>
    <n v="4.57"/>
    <x v="468"/>
    <x v="0"/>
    <n v="1.156753747599762E-3"/>
  </r>
  <r>
    <x v="20"/>
    <n v="4.1500000000000004"/>
    <x v="469"/>
    <x v="1"/>
    <n v="1.15549311797073E-3"/>
  </r>
  <r>
    <x v="35"/>
    <n v="10.199999999999999"/>
    <x v="470"/>
    <x v="0"/>
    <n v="1.1544846142675044E-3"/>
  </r>
  <r>
    <x v="34"/>
    <n v="5.47"/>
    <x v="471"/>
    <x v="1"/>
    <n v="1.1537282364900852E-3"/>
  </r>
  <r>
    <x v="21"/>
    <n v="4.24"/>
    <x v="472"/>
    <x v="1"/>
    <n v="1.1534761105642787E-3"/>
  </r>
  <r>
    <x v="12"/>
    <n v="6.41"/>
    <x v="473"/>
    <x v="1"/>
    <n v="1.1512069772320211E-3"/>
  </r>
  <r>
    <x v="20"/>
    <n v="5.05"/>
    <x v="474"/>
    <x v="0"/>
    <n v="1.1509548513062148E-3"/>
  </r>
  <r>
    <x v="8"/>
    <n v="4.84"/>
    <x v="475"/>
    <x v="1"/>
    <n v="1.1423825698287974E-3"/>
  </r>
  <r>
    <x v="14"/>
    <n v="6.02"/>
    <x v="476"/>
    <x v="0"/>
    <n v="1.135323043906218E-3"/>
  </r>
  <r>
    <x v="36"/>
    <n v="5.93"/>
    <x v="477"/>
    <x v="0"/>
    <n v="1.1333060364997669E-3"/>
  </r>
  <r>
    <x v="7"/>
    <n v="3.8"/>
    <x v="478"/>
    <x v="0"/>
    <n v="1.1312890290933156E-3"/>
  </r>
  <r>
    <x v="3"/>
    <n v="5.25"/>
    <x v="479"/>
    <x v="1"/>
    <n v="1.1300283994642836E-3"/>
  </r>
  <r>
    <x v="55"/>
    <n v="6.73"/>
    <x v="480"/>
    <x v="0"/>
    <n v="1.1254901327997684E-3"/>
  </r>
  <r>
    <x v="13"/>
    <n v="5.39"/>
    <x v="481"/>
    <x v="1"/>
    <n v="1.1252380068739621E-3"/>
  </r>
  <r>
    <x v="27"/>
    <n v="5.41"/>
    <x v="482"/>
    <x v="1"/>
    <n v="1.124481629096543E-3"/>
  </r>
  <r>
    <x v="46"/>
    <n v="5.47"/>
    <x v="483"/>
    <x v="1"/>
    <n v="1.1194391105804149E-3"/>
  </r>
  <r>
    <x v="14"/>
    <n v="7.81"/>
    <x v="484"/>
    <x v="0"/>
    <n v="1.1191869846546084E-3"/>
  </r>
  <r>
    <x v="8"/>
    <n v="4.7"/>
    <x v="485"/>
    <x v="1"/>
    <n v="1.1186827328029956E-3"/>
  </r>
  <r>
    <x v="39"/>
    <n v="4.2"/>
    <x v="486"/>
    <x v="0"/>
    <n v="1.1166657253965445E-3"/>
  </r>
  <r>
    <x v="8"/>
    <n v="6.5"/>
    <x v="487"/>
    <x v="0"/>
    <n v="1.1161614735449316E-3"/>
  </r>
  <r>
    <x v="47"/>
    <n v="4.59"/>
    <x v="488"/>
    <x v="1"/>
    <n v="1.1156572216933188E-3"/>
  </r>
  <r>
    <x v="10"/>
    <n v="4.55"/>
    <x v="489"/>
    <x v="1"/>
    <n v="1.115152969841706E-3"/>
  </r>
  <r>
    <x v="28"/>
    <n v="4.03"/>
    <x v="490"/>
    <x v="1"/>
    <n v="1.1146487179900934E-3"/>
  </r>
  <r>
    <x v="56"/>
    <n v="7.58"/>
    <x v="491"/>
    <x v="1"/>
    <n v="1.1116232068804166E-3"/>
  </r>
  <r>
    <x v="29"/>
    <n v="4.93"/>
    <x v="492"/>
    <x v="1"/>
    <n v="1.1085976957707396E-3"/>
  </r>
  <r>
    <x v="20"/>
    <n v="4.38"/>
    <x v="493"/>
    <x v="1"/>
    <n v="1.1080934439191268E-3"/>
  </r>
  <r>
    <x v="30"/>
    <n v="8.6"/>
    <x v="493"/>
    <x v="1"/>
    <n v="1.1080934439191268E-3"/>
  </r>
  <r>
    <x v="44"/>
    <n v="4.7699999999999996"/>
    <x v="494"/>
    <x v="0"/>
    <n v="1.1045636809578372E-3"/>
  </r>
  <r>
    <x v="39"/>
    <n v="6.16"/>
    <x v="495"/>
    <x v="0"/>
    <n v="1.1030509254029988E-3"/>
  </r>
  <r>
    <x v="36"/>
    <n v="4.26"/>
    <x v="496"/>
    <x v="0"/>
    <n v="1.0980084068868707E-3"/>
  </r>
  <r>
    <x v="40"/>
    <n v="5.79"/>
    <x v="497"/>
    <x v="0"/>
    <n v="1.0944786439255811E-3"/>
  </r>
  <r>
    <x v="1"/>
    <n v="5.35"/>
    <x v="498"/>
    <x v="0"/>
    <n v="1.0922095105933237E-3"/>
  </r>
  <r>
    <x v="30"/>
    <n v="3.3"/>
    <x v="499"/>
    <x v="0"/>
    <n v="1.0912010068900981E-3"/>
  </r>
  <r>
    <x v="0"/>
    <n v="2.6"/>
    <x v="500"/>
    <x v="0"/>
    <n v="1.0906967550384852E-3"/>
  </r>
  <r>
    <x v="58"/>
    <n v="5.56"/>
    <x v="501"/>
    <x v="1"/>
    <n v="1.089183999483647E-3"/>
  </r>
  <r>
    <x v="14"/>
    <n v="4.28"/>
    <x v="502"/>
    <x v="1"/>
    <n v="1.0886797476320341E-3"/>
  </r>
  <r>
    <x v="11"/>
    <n v="2.1"/>
    <x v="503"/>
    <x v="0"/>
    <n v="1.0884276217062276E-3"/>
  </r>
  <r>
    <x v="36"/>
    <n v="9.85"/>
    <x v="504"/>
    <x v="0"/>
    <n v="1.0836372291159061E-3"/>
  </r>
  <r>
    <x v="7"/>
    <n v="4.99"/>
    <x v="505"/>
    <x v="0"/>
    <n v="1.0818723476352613E-3"/>
  </r>
  <r>
    <x v="29"/>
    <n v="8.6"/>
    <x v="506"/>
    <x v="0"/>
    <n v="1.0763255772675204E-3"/>
  </r>
  <r>
    <x v="16"/>
    <n v="2.6"/>
    <x v="507"/>
    <x v="0"/>
    <n v="1.0717873106030052E-3"/>
  </r>
  <r>
    <x v="35"/>
    <n v="5.24"/>
    <x v="508"/>
    <x v="0"/>
    <n v="1.0705266809739732E-3"/>
  </r>
  <r>
    <x v="63"/>
    <n v="8.5399999999999991"/>
    <x v="509"/>
    <x v="1"/>
    <n v="1.0672490439384901E-3"/>
  </r>
  <r>
    <x v="58"/>
    <n v="6.23"/>
    <x v="510"/>
    <x v="0"/>
    <n v="1.0654841624578451E-3"/>
  </r>
  <r>
    <x v="38"/>
    <n v="8.68"/>
    <x v="511"/>
    <x v="0"/>
    <n v="1.0622065254223621E-3"/>
  </r>
  <r>
    <x v="29"/>
    <n v="4.54"/>
    <x v="512"/>
    <x v="1"/>
    <n v="1.0591810143126853E-3"/>
  </r>
  <r>
    <x v="14"/>
    <n v="5.5"/>
    <x v="512"/>
    <x v="1"/>
    <n v="1.0591810143126853E-3"/>
  </r>
  <r>
    <x v="21"/>
    <n v="7.25"/>
    <x v="512"/>
    <x v="0"/>
    <n v="1.0591810143126853E-3"/>
  </r>
  <r>
    <x v="56"/>
    <n v="4.32"/>
    <x v="513"/>
    <x v="1"/>
    <n v="1.0543906217223638E-3"/>
  </r>
  <r>
    <x v="58"/>
    <n v="5.03"/>
    <x v="514"/>
    <x v="1"/>
    <n v="1.0485917254288166E-3"/>
  </r>
  <r>
    <x v="46"/>
    <n v="7.9"/>
    <x v="515"/>
    <x v="0"/>
    <n v="1.0460704661707525E-3"/>
  </r>
  <r>
    <x v="27"/>
    <n v="4.6100000000000003"/>
    <x v="516"/>
    <x v="0"/>
    <n v="1.0422885772836566E-3"/>
  </r>
  <r>
    <x v="38"/>
    <n v="3.3"/>
    <x v="517"/>
    <x v="0"/>
    <n v="1.0397673180255927E-3"/>
  </r>
  <r>
    <x v="12"/>
    <n v="8.35"/>
    <x v="518"/>
    <x v="0"/>
    <n v="1.0395151920997861E-3"/>
  </r>
  <r>
    <x v="35"/>
    <n v="5.35"/>
    <x v="519"/>
    <x v="1"/>
    <n v="1.0306907846965622E-3"/>
  </r>
  <r>
    <x v="14"/>
    <n v="4.57"/>
    <x v="520"/>
    <x v="1"/>
    <n v="1.0301865328449494E-3"/>
  </r>
  <r>
    <x v="15"/>
    <n v="7.06"/>
    <x v="521"/>
    <x v="0"/>
    <n v="1.0284216513643046E-3"/>
  </r>
  <r>
    <x v="42"/>
    <n v="5.23"/>
    <x v="522"/>
    <x v="1"/>
    <n v="1.0132940958159204E-3"/>
  </r>
  <r>
    <x v="45"/>
    <n v="5.84"/>
    <x v="523"/>
    <x v="0"/>
    <n v="1.012285592112695E-3"/>
  </r>
  <r>
    <x v="21"/>
    <n v="6.71"/>
    <x v="524"/>
    <x v="0"/>
    <n v="1.0120334661868886E-3"/>
  </r>
  <r>
    <x v="21"/>
    <n v="5.2"/>
    <x v="525"/>
    <x v="1"/>
    <n v="1.0082515772997925E-3"/>
  </r>
  <r>
    <x v="10"/>
    <n v="4.83"/>
    <x v="526"/>
    <x v="0"/>
    <n v="1.0039654365610838E-3"/>
  </r>
  <r>
    <x v="37"/>
    <n v="5.43"/>
    <x v="527"/>
    <x v="1"/>
    <n v="1.0014441773030197E-3"/>
  </r>
  <r>
    <x v="27"/>
    <n v="4.17"/>
    <x v="528"/>
    <x v="1"/>
    <n v="9.9791441434173012E-4"/>
  </r>
  <r>
    <x v="30"/>
    <n v="2.2999999999999998"/>
    <x v="529"/>
    <x v="0"/>
    <n v="9.9690591063850446E-4"/>
  </r>
  <r>
    <x v="64"/>
    <n v="8.5500000000000007"/>
    <x v="530"/>
    <x v="1"/>
    <n v="9.875772513836679E-4"/>
  </r>
  <r>
    <x v="49"/>
    <n v="2.5"/>
    <x v="531"/>
    <x v="0"/>
    <n v="9.8076985138689505E-4"/>
  </r>
  <r>
    <x v="14"/>
    <n v="4.92"/>
    <x v="532"/>
    <x v="0"/>
    <n v="9.797613476836694E-4"/>
  </r>
  <r>
    <x v="22"/>
    <n v="4.66"/>
    <x v="533"/>
    <x v="1"/>
    <n v="9.7547520694496058E-4"/>
  </r>
  <r>
    <x v="8"/>
    <n v="1.6"/>
    <x v="534"/>
    <x v="0"/>
    <n v="9.7345819953850938E-4"/>
  </r>
  <r>
    <x v="17"/>
    <n v="4.6399999999999997"/>
    <x v="535"/>
    <x v="0"/>
    <n v="9.6942418472560708E-4"/>
  </r>
  <r>
    <x v="22"/>
    <n v="4.4800000000000004"/>
    <x v="536"/>
    <x v="1"/>
    <n v="9.641295402836726E-4"/>
  </r>
  <r>
    <x v="54"/>
    <n v="4.17"/>
    <x v="537"/>
    <x v="1"/>
    <n v="9.6236465880302781E-4"/>
  </r>
  <r>
    <x v="2"/>
    <n v="5.0999999999999996"/>
    <x v="538"/>
    <x v="0"/>
    <n v="9.6059977732238302E-4"/>
  </r>
  <r>
    <x v="58"/>
    <n v="7"/>
    <x v="539"/>
    <x v="0"/>
    <n v="9.6034765139657672E-4"/>
  </r>
  <r>
    <x v="32"/>
    <n v="4.12"/>
    <x v="540"/>
    <x v="0"/>
    <n v="9.5480088102883572E-4"/>
  </r>
  <r>
    <x v="7"/>
    <n v="8.5500000000000007"/>
    <x v="541"/>
    <x v="0"/>
    <n v="9.5379237732561017E-4"/>
  </r>
  <r>
    <x v="55"/>
    <n v="4.84"/>
    <x v="542"/>
    <x v="1"/>
    <n v="9.444637180707734E-4"/>
  </r>
  <r>
    <x v="44"/>
    <n v="5.2"/>
    <x v="543"/>
    <x v="0"/>
    <n v="9.4269883659012861E-4"/>
  </r>
  <r>
    <x v="36"/>
    <n v="6.76"/>
    <x v="544"/>
    <x v="1"/>
    <n v="9.346308069643238E-4"/>
  </r>
  <r>
    <x v="19"/>
    <n v="7.76"/>
    <x v="545"/>
    <x v="0"/>
    <n v="9.3261379955787271E-4"/>
  </r>
  <r>
    <x v="30"/>
    <n v="5.15"/>
    <x v="546"/>
    <x v="0"/>
    <n v="9.2580639956109986E-4"/>
  </r>
  <r>
    <x v="37"/>
    <n v="7.29"/>
    <x v="547"/>
    <x v="0"/>
    <n v="9.2555427363529344E-4"/>
  </r>
  <r>
    <x v="60"/>
    <n v="4.1399999999999997"/>
    <x v="548"/>
    <x v="0"/>
    <n v="9.2227663659981017E-4"/>
  </r>
  <r>
    <x v="55"/>
    <n v="5.76"/>
    <x v="549"/>
    <x v="0"/>
    <n v="9.2202451067400386E-4"/>
  </r>
  <r>
    <x v="48"/>
    <n v="6.23"/>
    <x v="550"/>
    <x v="0"/>
    <n v="9.2051175511916538E-4"/>
  </r>
  <r>
    <x v="8"/>
    <n v="4.1100000000000003"/>
    <x v="551"/>
    <x v="0"/>
    <n v="9.1546923660303754E-4"/>
  </r>
  <r>
    <x v="8"/>
    <n v="6.47"/>
    <x v="552"/>
    <x v="0"/>
    <n v="9.1294797734497351E-4"/>
  </r>
  <r>
    <x v="22"/>
    <n v="4.66"/>
    <x v="553"/>
    <x v="0"/>
    <n v="9.1269585141916709E-4"/>
  </r>
  <r>
    <x v="5"/>
    <n v="4.34"/>
    <x v="554"/>
    <x v="1"/>
    <n v="9.0261081438691097E-4"/>
  </r>
  <r>
    <x v="1"/>
    <n v="4.1399999999999997"/>
    <x v="555"/>
    <x v="1"/>
    <n v="9.0210656253529825E-4"/>
  </r>
  <r>
    <x v="3"/>
    <n v="7.45"/>
    <x v="556"/>
    <x v="0"/>
    <n v="9.0135018475787912E-4"/>
  </r>
  <r>
    <x v="44"/>
    <n v="5.42"/>
    <x v="557"/>
    <x v="0"/>
    <n v="8.9706404401917019E-4"/>
  </r>
  <r>
    <x v="3"/>
    <n v="4.96"/>
    <x v="558"/>
    <x v="0"/>
    <n v="8.9580341439013833E-4"/>
  </r>
  <r>
    <x v="40"/>
    <n v="8.1199999999999992"/>
    <x v="559"/>
    <x v="0"/>
    <n v="8.9202152550304234E-4"/>
  </r>
  <r>
    <x v="13"/>
    <n v="4.3899999999999997"/>
    <x v="560"/>
    <x v="0"/>
    <n v="8.8899601439336538E-4"/>
  </r>
  <r>
    <x v="23"/>
    <n v="3.3"/>
    <x v="561"/>
    <x v="0"/>
    <n v="8.8521412550626949E-4"/>
  </r>
  <r>
    <x v="28"/>
    <n v="6.25"/>
    <x v="562"/>
    <x v="0"/>
    <n v="8.8319711809981829E-4"/>
  </r>
  <r>
    <x v="40"/>
    <n v="1.5"/>
    <x v="563"/>
    <x v="0"/>
    <n v="8.8168436254497981E-4"/>
  </r>
  <r>
    <x v="32"/>
    <n v="7.79"/>
    <x v="564"/>
    <x v="0"/>
    <n v="8.7664184402885196E-4"/>
  </r>
  <r>
    <x v="43"/>
    <n v="3.7"/>
    <x v="565"/>
    <x v="0"/>
    <n v="8.7059082180949835E-4"/>
  </r>
  <r>
    <x v="7"/>
    <n v="5.48"/>
    <x v="566"/>
    <x v="0"/>
    <n v="8.6907806625465987E-4"/>
  </r>
  <r>
    <x v="34"/>
    <n v="4.4400000000000004"/>
    <x v="567"/>
    <x v="0"/>
    <n v="8.6756531069982139E-4"/>
  </r>
  <r>
    <x v="8"/>
    <n v="6.63"/>
    <x v="568"/>
    <x v="1"/>
    <n v="8.6428767366433833E-4"/>
  </r>
  <r>
    <x v="12"/>
    <n v="4.46"/>
    <x v="569"/>
    <x v="0"/>
    <n v="8.5848877737079103E-4"/>
  </r>
  <r>
    <x v="4"/>
    <n v="4.3099999999999996"/>
    <x v="570"/>
    <x v="0"/>
    <n v="8.5647176996433993E-4"/>
  </r>
  <r>
    <x v="13"/>
    <n v="7.27"/>
    <x v="571"/>
    <x v="0"/>
    <n v="8.4336122182240717E-4"/>
  </r>
  <r>
    <x v="32"/>
    <n v="6.22"/>
    <x v="572"/>
    <x v="0"/>
    <n v="8.3655382182563432E-4"/>
  </r>
  <r>
    <x v="27"/>
    <n v="6.68"/>
    <x v="573"/>
    <x v="1"/>
    <n v="8.3327618479015104E-4"/>
  </r>
  <r>
    <x v="19"/>
    <n v="3.3"/>
    <x v="574"/>
    <x v="0"/>
    <n v="8.3277193293853833E-4"/>
  </r>
  <r>
    <x v="29"/>
    <n v="2"/>
    <x v="575"/>
    <x v="0"/>
    <n v="8.2445177738692721E-4"/>
  </r>
  <r>
    <x v="22"/>
    <n v="7.72"/>
    <x v="576"/>
    <x v="0"/>
    <n v="8.0049981443531919E-4"/>
  </r>
  <r>
    <x v="32"/>
    <n v="2.9"/>
    <x v="577"/>
    <x v="0"/>
    <n v="7.9797855517725516E-4"/>
  </r>
  <r>
    <x v="26"/>
    <n v="6.18"/>
    <x v="578"/>
    <x v="0"/>
    <n v="7.9596154777080395E-4"/>
  </r>
  <r>
    <x v="7"/>
    <n v="4.32"/>
    <x v="579"/>
    <x v="0"/>
    <n v="7.9369241443854634E-4"/>
  </r>
  <r>
    <x v="55"/>
    <n v="1.8"/>
    <x v="580"/>
    <x v="0"/>
    <n v="7.90919029254676E-4"/>
  </r>
  <r>
    <x v="42"/>
    <n v="5.03"/>
    <x v="581"/>
    <x v="1"/>
    <n v="7.8688501444177359E-4"/>
  </r>
  <r>
    <x v="43"/>
    <n v="2.4"/>
    <x v="582"/>
    <x v="0"/>
    <n v="7.8411162925790326E-4"/>
  </r>
  <r>
    <x v="34"/>
    <n v="4.46"/>
    <x v="583"/>
    <x v="0"/>
    <n v="7.7679997740951758E-4"/>
  </r>
  <r>
    <x v="10"/>
    <n v="4.6500000000000004"/>
    <x v="584"/>
    <x v="1"/>
    <n v="7.7503509592887279E-4"/>
  </r>
  <r>
    <x v="12"/>
    <n v="3"/>
    <x v="585"/>
    <x v="0"/>
    <n v="7.7352234037403442E-4"/>
  </r>
  <r>
    <x v="0"/>
    <n v="5.3"/>
    <x v="586"/>
    <x v="0"/>
    <n v="7.73270214448228E-4"/>
  </r>
  <r>
    <x v="48"/>
    <n v="4"/>
    <x v="587"/>
    <x v="0"/>
    <n v="7.7200958481919604E-4"/>
  </r>
  <r>
    <x v="42"/>
    <n v="3.6"/>
    <x v="588"/>
    <x v="0"/>
    <n v="7.6469793297081036E-4"/>
  </r>
  <r>
    <x v="36"/>
    <n v="4.8"/>
    <x v="589"/>
    <x v="0"/>
    <n v="7.5612565149339272E-4"/>
  </r>
  <r>
    <x v="35"/>
    <n v="9.0500000000000007"/>
    <x v="590"/>
    <x v="1"/>
    <n v="7.3923321446436408E-4"/>
  </r>
  <r>
    <x v="35"/>
    <n v="2"/>
    <x v="591"/>
    <x v="0"/>
    <n v="7.3545132557726808E-4"/>
  </r>
  <r>
    <x v="8"/>
    <n v="5.22"/>
    <x v="592"/>
    <x v="0"/>
    <n v="7.2511416261920566E-4"/>
  </r>
  <r>
    <x v="10"/>
    <n v="7.22"/>
    <x v="593"/>
    <x v="1"/>
    <n v="7.2486203669339924E-4"/>
  </r>
  <r>
    <x v="21"/>
    <n v="1.9"/>
    <x v="594"/>
    <x v="0"/>
    <n v="7.1402062188372409E-4"/>
  </r>
  <r>
    <x v="41"/>
    <n v="5.85"/>
    <x v="595"/>
    <x v="0"/>
    <n v="7.0998660707082169E-4"/>
  </r>
  <r>
    <x v="40"/>
    <n v="3.9"/>
    <x v="596"/>
    <x v="0"/>
    <n v="7.0191857744501688E-4"/>
  </r>
  <r>
    <x v="14"/>
    <n v="8.39"/>
    <x v="597"/>
    <x v="1"/>
    <n v="6.9687605892888892E-4"/>
  </r>
  <r>
    <x v="32"/>
    <n v="6.41"/>
    <x v="598"/>
    <x v="0"/>
    <n v="6.749411033837321E-4"/>
  </r>
  <r>
    <x v="10"/>
    <n v="4.13"/>
    <x v="599"/>
    <x v="1"/>
    <n v="6.7141134042244253E-4"/>
  </r>
  <r>
    <x v="46"/>
    <n v="7.38"/>
    <x v="600"/>
    <x v="1"/>
    <n v="6.5754441450309052E-4"/>
  </r>
  <r>
    <x v="46"/>
    <n v="2.9"/>
    <x v="601"/>
    <x v="0"/>
    <n v="6.5678803672567139E-4"/>
  </r>
  <r>
    <x v="60"/>
    <n v="4.03"/>
    <x v="602"/>
    <x v="0"/>
    <n v="6.4745937747083451E-4"/>
  </r>
  <r>
    <x v="46"/>
    <n v="2.67"/>
    <x v="603"/>
    <x v="0"/>
    <n v="6.373743404385786E-4"/>
  </r>
  <r>
    <x v="24"/>
    <n v="4.4400000000000004"/>
    <x v="604"/>
    <x v="1"/>
    <n v="6.2098615526116256E-4"/>
  </r>
  <r>
    <x v="31"/>
    <n v="4.62"/>
    <x v="605"/>
    <x v="0"/>
    <n v="6.2048190340954973E-4"/>
  </r>
  <r>
    <x v="26"/>
    <n v="5.58"/>
    <x v="606"/>
    <x v="0"/>
    <n v="6.1367450341277699E-4"/>
  </r>
  <r>
    <x v="32"/>
    <n v="3.8"/>
    <x v="607"/>
    <x v="0"/>
    <n v="5.9249592564503942E-4"/>
  </r>
  <r>
    <x v="39"/>
    <n v="1.5"/>
    <x v="608"/>
    <x v="0"/>
    <n v="5.882097849063306E-4"/>
  </r>
  <r>
    <x v="65"/>
    <n v="4.37"/>
    <x v="609"/>
    <x v="0"/>
    <n v="5.8770553305471777E-4"/>
  </r>
  <r>
    <x v="37"/>
    <n v="1.5"/>
    <x v="610"/>
    <x v="0"/>
    <n v="5.7509923676439772E-4"/>
  </r>
  <r>
    <x v="34"/>
    <n v="2.1"/>
    <x v="611"/>
    <x v="0"/>
    <n v="5.6955246639665705E-4"/>
  </r>
  <r>
    <x v="29"/>
    <n v="7.18"/>
    <x v="612"/>
    <x v="0"/>
    <n v="5.6930034047085053E-4"/>
  </r>
  <r>
    <x v="13"/>
    <n v="4.1399999999999997"/>
    <x v="613"/>
    <x v="0"/>
    <n v="5.6829183676762498E-4"/>
  </r>
  <r>
    <x v="51"/>
    <n v="3.5"/>
    <x v="614"/>
    <x v="0"/>
    <n v="5.6652695528698019E-4"/>
  </r>
  <r>
    <x v="53"/>
    <n v="4"/>
    <x v="615"/>
    <x v="0"/>
    <n v="5.5442491084827298E-4"/>
  </r>
  <r>
    <x v="45"/>
    <n v="4.0599999999999996"/>
    <x v="616"/>
    <x v="0"/>
    <n v="5.5417278492246667E-4"/>
  </r>
  <r>
    <x v="4"/>
    <n v="6.31"/>
    <x v="617"/>
    <x v="0"/>
    <n v="5.4786963677730665E-4"/>
  </r>
  <r>
    <x v="36"/>
    <n v="5.46"/>
    <x v="618"/>
    <x v="1"/>
    <n v="5.4106223678053391E-4"/>
  </r>
  <r>
    <x v="27"/>
    <n v="4.54"/>
    <x v="619"/>
    <x v="1"/>
    <n v="5.3198570345150344E-4"/>
  </r>
  <r>
    <x v="46"/>
    <n v="4.1500000000000004"/>
    <x v="620"/>
    <x v="0"/>
    <n v="5.25430429380537E-4"/>
  </r>
  <r>
    <x v="36"/>
    <n v="5.65"/>
    <x v="621"/>
    <x v="0"/>
    <n v="5.1206775531279782E-4"/>
  </r>
  <r>
    <x v="45"/>
    <n v="4.3899999999999997"/>
    <x v="622"/>
    <x v="0"/>
    <n v="5.0853799235150835E-4"/>
  </r>
  <r>
    <x v="7"/>
    <n v="7.37"/>
    <x v="623"/>
    <x v="0"/>
    <n v="4.7954351088377227E-4"/>
  </r>
  <r>
    <x v="28"/>
    <n v="2"/>
    <x v="624"/>
    <x v="0"/>
    <n v="4.7929138495796597E-4"/>
  </r>
  <r>
    <x v="7"/>
    <n v="4"/>
    <x v="625"/>
    <x v="0"/>
    <n v="4.6693721459345228E-4"/>
  </r>
  <r>
    <x v="58"/>
    <n v="4"/>
    <x v="626"/>
    <x v="0"/>
    <n v="4.6088619237409873E-4"/>
  </r>
  <r>
    <x v="26"/>
    <n v="1.7"/>
    <x v="627"/>
    <x v="0"/>
    <n v="4.3668210349668434E-4"/>
  </r>
  <r>
    <x v="41"/>
    <n v="2.7"/>
    <x v="628"/>
    <x v="0"/>
    <n v="4.1802478498701074E-4"/>
  </r>
  <r>
    <x v="44"/>
    <n v="2.2999999999999998"/>
    <x v="629"/>
    <x v="0"/>
    <n v="3.5297629612895964E-4"/>
  </r>
  <r>
    <x v="29"/>
    <n v="3.7"/>
    <x v="630"/>
    <x v="0"/>
    <n v="3.1893929614509566E-4"/>
  </r>
  <r>
    <x v="45"/>
    <n v="3.9"/>
    <x v="631"/>
    <x v="0"/>
    <n v="3.0129048133864766E-4"/>
  </r>
  <r>
    <x v="27"/>
    <n v="2.8"/>
    <x v="632"/>
    <x v="0"/>
    <n v="2.8086828134832933E-4"/>
  </r>
  <r>
    <x v="48"/>
    <n v="5.93"/>
    <x v="633"/>
    <x v="0"/>
    <n v="2.7633001468381415E-4"/>
  </r>
  <r>
    <x v="1"/>
    <n v="2.6"/>
    <x v="634"/>
    <x v="0"/>
    <n v="2.4708340729027176E-4"/>
  </r>
  <r>
    <x v="49"/>
    <n v="4.68"/>
    <x v="635"/>
    <x v="1"/>
    <n v="2.3271222951930698E-4"/>
  </r>
  <r>
    <x v="28"/>
    <n v="8.41"/>
    <x v="636"/>
    <x v="0"/>
    <n v="2.1909742952576136E-4"/>
  </r>
  <r>
    <x v="0"/>
    <n v="4.18"/>
    <x v="637"/>
    <x v="1"/>
    <n v="2.017007406451198E-4"/>
  </r>
  <r>
    <x v="0"/>
    <n v="3.2"/>
    <x v="638"/>
    <x v="0"/>
    <n v="1.7573177028706061E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532FE-EBCD-4B5B-B8B7-30ABBF046B5D}" name="Tableau croisé dynamique5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ID Clients" colHeaderCaption="Catégorie">
  <location ref="A4:J73" firstHeaderRow="1" firstDataRow="3" firstDataCol="1"/>
  <pivotFields count="5">
    <pivotField axis="axisRow" dataField="1" showAll="0">
      <items count="67">
        <item x="55"/>
        <item x="19"/>
        <item x="2"/>
        <item x="15"/>
        <item x="37"/>
        <item x="49"/>
        <item x="45"/>
        <item x="31"/>
        <item x="34"/>
        <item x="36"/>
        <item x="51"/>
        <item x="43"/>
        <item x="44"/>
        <item x="40"/>
        <item x="1"/>
        <item x="5"/>
        <item x="35"/>
        <item x="16"/>
        <item x="32"/>
        <item x="12"/>
        <item x="39"/>
        <item x="20"/>
        <item x="27"/>
        <item x="22"/>
        <item x="7"/>
        <item x="0"/>
        <item x="8"/>
        <item x="13"/>
        <item x="46"/>
        <item x="29"/>
        <item x="10"/>
        <item x="4"/>
        <item x="6"/>
        <item x="28"/>
        <item x="9"/>
        <item x="21"/>
        <item x="30"/>
        <item x="14"/>
        <item x="11"/>
        <item x="24"/>
        <item x="17"/>
        <item x="38"/>
        <item x="58"/>
        <item x="23"/>
        <item x="47"/>
        <item x="25"/>
        <item x="42"/>
        <item x="48"/>
        <item x="53"/>
        <item x="26"/>
        <item x="3"/>
        <item x="60"/>
        <item x="18"/>
        <item x="56"/>
        <item x="52"/>
        <item x="57"/>
        <item x="41"/>
        <item x="61"/>
        <item x="63"/>
        <item x="62"/>
        <item x="50"/>
        <item x="64"/>
        <item x="33"/>
        <item x="54"/>
        <item x="65"/>
        <item x="59"/>
        <item t="default"/>
      </items>
    </pivotField>
    <pivotField numFmtId="4" showAll="0"/>
    <pivotField dataField="1" numFmtId="165" showAll="0">
      <items count="640"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dataField="1" numFmtId="10" showAll="0"/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-2"/>
    <field x="3"/>
  </colFields>
  <colItems count="9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t="grand">
      <x/>
    </i>
    <i t="grand" i="1">
      <x/>
    </i>
    <i t="grand" i="2">
      <x/>
    </i>
  </colItems>
  <dataFields count="3">
    <dataField name="Nombre d'achats" fld="0" subtotal="count" baseField="3" baseItem="1"/>
    <dataField name="Somme de CA %" fld="4" baseField="3" baseItem="1" numFmtId="10"/>
    <dataField name="Somme de Montant" fld="2" baseField="0" baseItem="0" numFmtId="166"/>
  </dataFields>
  <formats count="86">
    <format dxfId="105">
      <pivotArea field="3" type="button" dataOnly="0" labelOnly="1" outline="0" axis="axisCol" fieldPosition="1"/>
    </format>
    <format dxfId="104">
      <pivotArea field="-2" type="button" dataOnly="0" labelOnly="1" outline="0" axis="axisCol" fieldPosition="0"/>
    </format>
    <format dxfId="103">
      <pivotArea type="topRight" dataOnly="0" labelOnly="1" outline="0" offset="A1:D1" fieldPosition="0"/>
    </format>
    <format dxfId="102">
      <pivotArea field="3" type="button" dataOnly="0" labelOnly="1" outline="0" axis="axisCol" fieldPosition="1"/>
    </format>
    <format dxfId="101">
      <pivotArea field="-2" type="button" dataOnly="0" labelOnly="1" outline="0" axis="axisCol" fieldPosition="0"/>
    </format>
    <format dxfId="100">
      <pivotArea type="topRight" dataOnly="0" labelOnly="1" outline="0" fieldPosition="0"/>
    </format>
    <format dxfId="9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6">
      <pivotArea field="3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95">
      <pivotArea field="3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94">
      <pivotArea field="3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93">
      <pivotArea field="3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92">
      <pivotArea dataOnly="0" grandRow="1" fieldPosition="0"/>
    </format>
    <format dxfId="91">
      <pivotArea dataOnly="0" grandRow="1" fieldPosition="0"/>
    </format>
    <format dxfId="90">
      <pivotArea dataOnly="0" grandRow="1" fieldPosition="0"/>
    </format>
    <format dxfId="8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type="origin" dataOnly="0" labelOnly="1" outline="0" fieldPosition="0"/>
    </format>
    <format dxfId="84">
      <pivotArea field="-2" type="button" dataOnly="0" labelOnly="1" outline="0" axis="axisCol" fieldPosition="0"/>
    </format>
    <format dxfId="83">
      <pivotArea field="3" type="button" dataOnly="0" labelOnly="1" outline="0" axis="axisCol" fieldPosition="1"/>
    </format>
    <format dxfId="82">
      <pivotArea type="topRight" dataOnly="0" labelOnly="1" outline="0" fieldPosition="0"/>
    </format>
    <format dxfId="81">
      <pivotArea field="3" grandCol="1" outline="0" collapsedLevelsAreSubtotals="1" axis="axisCol" fieldPosition="1">
        <references count="1">
          <reference field="4294967294" count="1" selected="0">
            <x v="2"/>
          </reference>
        </references>
      </pivotArea>
    </format>
    <format dxfId="80">
      <pivotArea outline="0" fieldPosition="0">
        <references count="1">
          <reference field="4294967294" count="1">
            <x v="2"/>
          </reference>
        </references>
      </pivotArea>
    </format>
    <format dxfId="79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format>
    <format dxfId="78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format>
    <format dxfId="77">
      <pivotArea field="3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  <format dxfId="76">
      <pivotArea field="3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75">
      <pivotArea field="3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74">
      <pivotArea field="3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-2" type="button" dataOnly="0" labelOnly="1" outline="0" axis="axisCol" fieldPosition="0"/>
    </format>
    <format dxfId="69">
      <pivotArea field="3" type="button" dataOnly="0" labelOnly="1" outline="0" axis="axisCol" fieldPosition="1"/>
    </format>
    <format dxfId="68">
      <pivotArea type="topRight" dataOnly="0" labelOnly="1" outline="0" fieldPosition="0"/>
    </format>
    <format dxfId="67">
      <pivotArea field="0" type="button" dataOnly="0" labelOnly="1" outline="0" axis="axisRow" fieldPosition="0"/>
    </format>
    <format dxfId="6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5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">
      <pivotArea field="3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61">
      <pivotArea field="3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60">
      <pivotArea field="3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59">
      <pivotArea dataOnly="0" labelOnly="1" fieldPosition="0">
        <references count="2">
          <reference field="4294967294" count="1" selected="0">
            <x v="0"/>
          </reference>
          <reference field="3" count="0"/>
        </references>
      </pivotArea>
    </format>
    <format dxfId="58">
      <pivotArea dataOnly="0" labelOnly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57">
      <pivotArea dataOnly="0" labelOnly="1" fieldPosition="0">
        <references count="2">
          <reference field="4294967294" count="1" selected="0">
            <x v="2"/>
          </reference>
          <reference field="3" count="0"/>
        </references>
      </pivotArea>
    </format>
    <format dxfId="56">
      <pivotArea type="origin" dataOnly="0" labelOnly="1" outline="0" fieldPosition="0"/>
    </format>
    <format dxfId="55">
      <pivotArea field="-2" type="button" dataOnly="0" labelOnly="1" outline="0" axis="axisCol" fieldPosition="0"/>
    </format>
    <format dxfId="54">
      <pivotArea field="3" type="button" dataOnly="0" labelOnly="1" outline="0" axis="axisCol" fieldPosition="1"/>
    </format>
    <format dxfId="53">
      <pivotArea type="topRight" dataOnly="0" labelOnly="1" outline="0" fieldPosition="0"/>
    </format>
    <format dxfId="52">
      <pivotArea field="0" type="button" dataOnly="0" labelOnly="1" outline="0" axis="axisRow" fieldPosition="0"/>
    </format>
    <format dxfId="5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0">
      <pivotArea field="3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49">
      <pivotArea field="3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48">
      <pivotArea field="3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47">
      <pivotArea dataOnly="0" labelOnly="1" fieldPosition="0">
        <references count="2">
          <reference field="4294967294" count="1" selected="0">
            <x v="0"/>
          </reference>
          <reference field="3" count="0"/>
        </references>
      </pivotArea>
    </format>
    <format dxfId="46">
      <pivotArea dataOnly="0" labelOnly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45">
      <pivotArea dataOnly="0" labelOnly="1" fieldPosition="0">
        <references count="2">
          <reference field="4294967294" count="1" selected="0">
            <x v="2"/>
          </reference>
          <reference field="3" count="0"/>
        </references>
      </pivotArea>
    </format>
    <format dxfId="44">
      <pivotArea type="origin" dataOnly="0" labelOnly="1" outline="0" fieldPosition="0"/>
    </format>
    <format dxfId="43">
      <pivotArea field="-2" type="button" dataOnly="0" labelOnly="1" outline="0" axis="axisCol" fieldPosition="0"/>
    </format>
    <format dxfId="42">
      <pivotArea field="3" type="button" dataOnly="0" labelOnly="1" outline="0" axis="axisCol" fieldPosition="1"/>
    </format>
    <format dxfId="41">
      <pivotArea type="topRight" dataOnly="0" labelOnly="1" outline="0" fieldPosition="0"/>
    </format>
    <format dxfId="40">
      <pivotArea field="0" type="button" dataOnly="0" labelOnly="1" outline="0" axis="axisRow" fieldPosition="0"/>
    </format>
    <format dxfId="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">
      <pivotArea field="3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37">
      <pivotArea field="3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36">
      <pivotArea field="3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35">
      <pivotArea dataOnly="0" labelOnly="1" fieldPosition="0">
        <references count="2">
          <reference field="4294967294" count="1" selected="0">
            <x v="0"/>
          </reference>
          <reference field="3" count="0"/>
        </references>
      </pivotArea>
    </format>
    <format dxfId="34">
      <pivotArea dataOnly="0" labelOnly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33">
      <pivotArea dataOnly="0" labelOnly="1" fieldPosition="0">
        <references count="2">
          <reference field="4294967294" count="1" selected="0">
            <x v="2"/>
          </reference>
          <reference field="3" count="0"/>
        </references>
      </pivotArea>
    </format>
    <format dxfId="32">
      <pivotArea type="origin" dataOnly="0" labelOnly="1" outline="0" fieldPosition="0"/>
    </format>
    <format dxfId="31">
      <pivotArea field="-2" type="button" dataOnly="0" labelOnly="1" outline="0" axis="axisCol" fieldPosition="0"/>
    </format>
    <format dxfId="30">
      <pivotArea field="3" type="button" dataOnly="0" labelOnly="1" outline="0" axis="axisCol" fieldPosition="1"/>
    </format>
    <format dxfId="29">
      <pivotArea type="topRight" dataOnly="0" labelOnly="1" outline="0" fieldPosition="0"/>
    </format>
    <format dxfId="28">
      <pivotArea field="0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">
      <pivotArea field="3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5">
      <pivotArea field="3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4">
      <pivotArea field="3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23">
      <pivotArea dataOnly="0" labelOnly="1" fieldPosition="0">
        <references count="2">
          <reference field="4294967294" count="1" selected="0">
            <x v="0"/>
          </reference>
          <reference field="3" count="0"/>
        </references>
      </pivotArea>
    </format>
    <format dxfId="22">
      <pivotArea dataOnly="0" labelOnly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21">
      <pivotArea dataOnly="0" labelOnly="1" fieldPosition="0">
        <references count="2">
          <reference field="4294967294" count="1" selected="0">
            <x v="2"/>
          </reference>
          <reference field="3" count="0"/>
        </references>
      </pivotArea>
    </format>
    <format dxfId="20">
      <pivotArea grandRow="1" grandCol="1" outline="0" collapsedLevelsAreSubtotals="1" fieldPosition="0">
        <references count="1">
          <reference field="4294967294" count="1" selected="0">
            <x v="2"/>
          </reference>
        </references>
      </pivotArea>
    </format>
  </formats>
  <conditionalFormats count="2">
    <conditionalFormat priority="9">
      <pivotAreas count="1">
        <pivotArea type="data" grandCol="1" collapsedLevelsAreSubtotals="1" fieldPosition="0">
          <references count="2">
            <reference field="4294967294" count="1" selected="0">
              <x v="1"/>
            </reference>
            <reference field="0" count="1">
              <x v="8"/>
            </reference>
          </references>
        </pivotArea>
      </pivotAreas>
    </conditionalFormat>
    <conditionalFormat type="all" priority="1">
      <pivotAreas count="1">
        <pivotArea type="data" grandCol="1" collapsedLevelsAreSubtotals="1" fieldPosition="0">
          <references count="2">
            <reference field="4294967294" count="1" selected="0">
              <x v="1"/>
            </reference>
            <reference field="0" count="6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</reference>
          </references>
        </pivotArea>
      </pivotAreas>
    </conditionalFormat>
  </conditional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B5E80-DB04-45BD-A59B-82615CAF67CB}" name="Tableau croisé dynamique47" cacheId="1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chartFormat="37">
  <location ref="A3:C65" firstHeaderRow="0" firstDataRow="1" firstDataCol="1"/>
  <pivotFields count="5">
    <pivotField axis="axisRow" dataField="1" multipleItemSelectionAllowed="1" showAll="0" sortType="descending">
      <items count="67">
        <item x="55"/>
        <item x="19"/>
        <item x="2"/>
        <item x="15"/>
        <item x="37"/>
        <item x="49"/>
        <item x="45"/>
        <item x="31"/>
        <item x="34"/>
        <item x="36"/>
        <item x="51"/>
        <item x="43"/>
        <item x="44"/>
        <item x="40"/>
        <item x="1"/>
        <item x="5"/>
        <item x="35"/>
        <item x="16"/>
        <item x="32"/>
        <item x="12"/>
        <item x="39"/>
        <item x="20"/>
        <item x="27"/>
        <item x="22"/>
        <item x="7"/>
        <item x="0"/>
        <item x="8"/>
        <item x="13"/>
        <item x="46"/>
        <item x="29"/>
        <item x="10"/>
        <item x="4"/>
        <item x="6"/>
        <item x="28"/>
        <item x="9"/>
        <item x="21"/>
        <item x="30"/>
        <item x="14"/>
        <item x="11"/>
        <item x="24"/>
        <item x="17"/>
        <item x="38"/>
        <item x="58"/>
        <item x="23"/>
        <item x="47"/>
        <item x="25"/>
        <item x="42"/>
        <item x="48"/>
        <item x="53"/>
        <item x="26"/>
        <item x="3"/>
        <item x="60"/>
        <item x="18"/>
        <item x="56"/>
        <item x="52"/>
        <item x="57"/>
        <item x="41"/>
        <item x="61"/>
        <item x="63"/>
        <item x="62"/>
        <item x="50"/>
        <item x="64"/>
        <item x="33"/>
        <item x="54"/>
        <item x="65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multipleItemSelectionAllowed="1" showAll="0" countASubtotal="1">
      <items count="640"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countA"/>
      </items>
    </pivotField>
    <pivotField axis="axisRow" showAll="0">
      <items count="3">
        <item h="1" x="1"/>
        <item x="0"/>
        <item t="default"/>
      </items>
    </pivotField>
    <pivotField numFmtId="10" showAll="0"/>
  </pivotFields>
  <rowFields count="2">
    <field x="3"/>
    <field x="0"/>
  </rowFields>
  <rowItems count="62">
    <i>
      <x v="1"/>
    </i>
    <i r="1">
      <x v="24"/>
    </i>
    <i r="1">
      <x v="35"/>
    </i>
    <i r="1">
      <x v="31"/>
    </i>
    <i r="1">
      <x v="37"/>
    </i>
    <i r="1">
      <x v="23"/>
    </i>
    <i r="1">
      <x v="47"/>
    </i>
    <i r="1">
      <x v="28"/>
    </i>
    <i r="1">
      <x v="34"/>
    </i>
    <i r="1">
      <x v="50"/>
    </i>
    <i r="1">
      <x v="29"/>
    </i>
    <i r="1">
      <x v="41"/>
    </i>
    <i r="1">
      <x v="40"/>
    </i>
    <i r="1">
      <x v="25"/>
    </i>
    <i r="1">
      <x v="26"/>
    </i>
    <i r="1">
      <x v="49"/>
    </i>
    <i r="1">
      <x v="30"/>
    </i>
    <i r="1">
      <x v="39"/>
    </i>
    <i r="1">
      <x v="19"/>
    </i>
    <i r="1">
      <x v="45"/>
    </i>
    <i r="1">
      <x v="56"/>
    </i>
    <i r="1">
      <x v="27"/>
    </i>
    <i r="1">
      <x v="36"/>
    </i>
    <i r="1">
      <x v="16"/>
    </i>
    <i r="1">
      <x v="21"/>
    </i>
    <i r="1">
      <x v="42"/>
    </i>
    <i r="1">
      <x v="20"/>
    </i>
    <i r="1">
      <x v="18"/>
    </i>
    <i r="1">
      <x v="33"/>
    </i>
    <i r="1">
      <x v="48"/>
    </i>
    <i r="1">
      <x v="14"/>
    </i>
    <i r="1">
      <x v="38"/>
    </i>
    <i r="1">
      <x v="43"/>
    </i>
    <i r="1">
      <x v="22"/>
    </i>
    <i r="1">
      <x v="51"/>
    </i>
    <i r="1">
      <x v="13"/>
    </i>
    <i r="1">
      <x v="32"/>
    </i>
    <i r="1">
      <x v="15"/>
    </i>
    <i r="1">
      <x v="17"/>
    </i>
    <i r="1">
      <x v="9"/>
    </i>
    <i r="1">
      <x v="8"/>
    </i>
    <i r="1">
      <x v="46"/>
    </i>
    <i r="1">
      <x v="12"/>
    </i>
    <i r="1">
      <x v="44"/>
    </i>
    <i r="1">
      <x v="65"/>
    </i>
    <i r="1">
      <x v="64"/>
    </i>
    <i r="1">
      <x v="62"/>
    </i>
    <i r="1">
      <x v="11"/>
    </i>
    <i r="1">
      <x v="55"/>
    </i>
    <i r="1">
      <x v="6"/>
    </i>
    <i r="1">
      <x v="7"/>
    </i>
    <i r="1">
      <x v="54"/>
    </i>
    <i r="1">
      <x v="53"/>
    </i>
    <i r="1">
      <x v="52"/>
    </i>
    <i r="1">
      <x v="4"/>
    </i>
    <i r="1">
      <x v="5"/>
    </i>
    <i r="1">
      <x v="10"/>
    </i>
    <i r="1">
      <x v="1"/>
    </i>
    <i r="1">
      <x v="3"/>
    </i>
    <i r="1">
      <x v="2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ID client" fld="0" baseField="0" baseItem="0"/>
    <dataField name="Somme de Montant" fld="2" baseField="0" baseItem="0"/>
  </dataFields>
  <conditionalFormats count="2"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5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50"/>
              <x v="51"/>
              <x v="52"/>
              <x v="53"/>
              <x v="57"/>
              <x v="58"/>
              <x v="59"/>
              <x v="60"/>
              <x v="61"/>
              <x v="63"/>
            </reference>
            <reference field="3" count="1" selected="0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6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62"/>
              <x v="64"/>
              <x v="65"/>
            </reference>
            <reference field="3" count="1" selected="0">
              <x v="1"/>
            </reference>
          </references>
        </pivotArea>
      </pivotAreas>
    </conditionalFormat>
  </conditional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8382D-DB3D-4EBD-8E28-D9FFD754E17C}" name="Tableau croisé dynamique6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D69" firstHeaderRow="1" firstDataRow="2" firstDataCol="1"/>
  <pivotFields count="5">
    <pivotField axis="axisRow" showAll="0" sortType="descending" sumSubtotal="1" countASubtotal="1">
      <items count="68">
        <item x="55"/>
        <item x="19"/>
        <item x="2"/>
        <item x="15"/>
        <item x="37"/>
        <item x="49"/>
        <item x="45"/>
        <item x="31"/>
        <item x="34"/>
        <item x="36"/>
        <item x="51"/>
        <item x="43"/>
        <item x="44"/>
        <item x="40"/>
        <item x="1"/>
        <item x="5"/>
        <item x="35"/>
        <item x="16"/>
        <item x="32"/>
        <item x="12"/>
        <item x="39"/>
        <item x="20"/>
        <item x="27"/>
        <item x="22"/>
        <item x="7"/>
        <item x="0"/>
        <item x="8"/>
        <item x="13"/>
        <item x="46"/>
        <item x="29"/>
        <item x="10"/>
        <item x="4"/>
        <item x="6"/>
        <item x="28"/>
        <item x="9"/>
        <item x="21"/>
        <item x="30"/>
        <item x="14"/>
        <item x="11"/>
        <item x="24"/>
        <item x="17"/>
        <item x="38"/>
        <item x="58"/>
        <item x="23"/>
        <item x="47"/>
        <item x="25"/>
        <item x="42"/>
        <item x="48"/>
        <item x="53"/>
        <item x="26"/>
        <item x="3"/>
        <item x="60"/>
        <item x="18"/>
        <item x="56"/>
        <item x="52"/>
        <item x="57"/>
        <item x="41"/>
        <item x="61"/>
        <item x="63"/>
        <item x="62"/>
        <item x="50"/>
        <item x="64"/>
        <item x="33"/>
        <item x="54"/>
        <item x="65"/>
        <item x="59"/>
        <item t="countA"/>
        <item t="sum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>
      <items count="640"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numFmtId="10" showAll="0"/>
  </pivotFields>
  <rowFields count="1">
    <field x="0"/>
  </rowFields>
  <rowItems count="67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>
      <x v="27"/>
    </i>
    <i>
      <x v="17"/>
    </i>
    <i>
      <x v="29"/>
    </i>
    <i>
      <x v="15"/>
    </i>
    <i>
      <x v="26"/>
    </i>
    <i>
      <x v="16"/>
    </i>
    <i>
      <x v="13"/>
    </i>
    <i>
      <x v="8"/>
    </i>
    <i>
      <x v="1"/>
    </i>
    <i>
      <x v="6"/>
    </i>
    <i>
      <x v="22"/>
    </i>
    <i>
      <x v="28"/>
    </i>
    <i>
      <x v="40"/>
    </i>
    <i>
      <x v="33"/>
    </i>
    <i>
      <x v="9"/>
    </i>
    <i>
      <x v="4"/>
    </i>
    <i>
      <x v="31"/>
    </i>
    <i>
      <x v="18"/>
    </i>
    <i>
      <x v="2"/>
    </i>
    <i>
      <x v="41"/>
    </i>
    <i>
      <x v="12"/>
    </i>
    <i>
      <x v="5"/>
    </i>
    <i>
      <x v="20"/>
    </i>
    <i>
      <x v="32"/>
    </i>
    <i>
      <x v="38"/>
    </i>
    <i>
      <x v="45"/>
    </i>
    <i>
      <x v="39"/>
    </i>
    <i>
      <x v="50"/>
    </i>
    <i>
      <x v="7"/>
    </i>
    <i>
      <x v="47"/>
    </i>
    <i>
      <x v="42"/>
    </i>
    <i>
      <x v="43"/>
    </i>
    <i>
      <x v="36"/>
    </i>
    <i>
      <x v="11"/>
    </i>
    <i>
      <x/>
    </i>
    <i>
      <x v="3"/>
    </i>
    <i>
      <x v="46"/>
    </i>
    <i>
      <x v="48"/>
    </i>
    <i>
      <x v="49"/>
    </i>
    <i>
      <x v="44"/>
    </i>
    <i>
      <x v="10"/>
    </i>
    <i>
      <x v="56"/>
    </i>
    <i>
      <x v="52"/>
    </i>
    <i>
      <x v="51"/>
    </i>
    <i>
      <x v="53"/>
    </i>
    <i>
      <x v="63"/>
    </i>
    <i>
      <x v="62"/>
    </i>
    <i>
      <x v="60"/>
    </i>
    <i>
      <x v="54"/>
    </i>
    <i>
      <x v="55"/>
    </i>
    <i>
      <x v="65"/>
    </i>
    <i>
      <x v="57"/>
    </i>
    <i>
      <x v="59"/>
    </i>
    <i>
      <x v="58"/>
    </i>
    <i>
      <x v="61"/>
    </i>
    <i>
      <x v="6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29FDB3-7DE8-437D-A859-57E8F6805DC6}" name="Tableau5" displayName="Tableau5" ref="Q1:S12" totalsRowShown="0" tableBorderDxfId="19">
  <autoFilter ref="Q1:S12" xr:uid="{5629FDB3-7DE8-437D-A859-57E8F6805DC6}"/>
  <sortState xmlns:xlrd2="http://schemas.microsoft.com/office/spreadsheetml/2017/richdata2" ref="Q2:S12">
    <sortCondition descending="1" ref="S1:S12"/>
  </sortState>
  <tableColumns count="3">
    <tableColumn id="1" xr3:uid="{27CC3116-8C59-4765-B281-EADA77F18033}" name="Étiquettes de lignes" dataDxfId="18"/>
    <tableColumn id="2" xr3:uid="{66D2A5B4-F3D8-44C8-BC1B-C878C3BD6457}" name="Somme de ID client" dataDxfId="17"/>
    <tableColumn id="3" xr3:uid="{D7CC9244-4800-4D8F-BBDA-19E56993FAFB}" name="Somme de Montant" dataDxfId="1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6:E667" totalsRowCount="1">
  <autoFilter ref="A6:E666" xr:uid="{00000000-000C-0000-FFFF-FFFF00000000}"/>
  <sortState xmlns:xlrd2="http://schemas.microsoft.com/office/spreadsheetml/2017/richdata2" ref="A7:D666">
    <sortCondition descending="1" ref="C6:C666"/>
  </sortState>
  <tableColumns count="5">
    <tableColumn id="1" xr3:uid="{00000000-0010-0000-0000-000001000000}" name="ID client" totalsRowDxfId="15"/>
    <tableColumn id="2" xr3:uid="{00000000-0010-0000-0000-000002000000}" name="Temps d'achat" totalsRowFunction="count" totalsRowDxfId="14"/>
    <tableColumn id="3" xr3:uid="{00000000-0010-0000-0000-000003000000}" name="Montant" totalsRowFunction="sum" totalsRowDxfId="13"/>
    <tableColumn id="4" xr3:uid="{00000000-0010-0000-0000-000004000000}" name="Categorie" totalsRowDxfId="12"/>
    <tableColumn id="5" xr3:uid="{25452B91-5DBE-45B8-80C5-93BFB779EDB5}" name="CA %" totalsRowFunction="sum" dataDxfId="11" totalsRowDxfId="10">
      <calculatedColumnFormula>C7/C$667</calculatedColumnFormula>
    </tableColumn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5FE10A-417C-4C54-A4CB-2788B10EEFC9}">
  <we:reference id="026e7b2b-fa4d-4fe0-bf3b-b965f6f25bee" version="1.0.0.73" store="EXCatalog" storeType="EXCatalog"/>
  <we:alternateReferences>
    <we:reference id="WA200000565" version="1.0.0.7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theme="4"/>
  </sheetPr>
  <dimension ref="A1:X1000"/>
  <sheetViews>
    <sheetView tabSelected="1" showWhiteSpace="0" topLeftCell="A8" zoomScaleNormal="98" workbookViewId="0">
      <selection activeCell="K19" sqref="K19"/>
    </sheetView>
  </sheetViews>
  <sheetFormatPr baseColWidth="10" defaultColWidth="14.44140625" defaultRowHeight="15" customHeight="1" x14ac:dyDescent="0.3"/>
  <cols>
    <col min="1" max="1" width="19.109375" bestFit="1" customWidth="1"/>
    <col min="2" max="2" width="17.88671875" bestFit="1" customWidth="1"/>
    <col min="3" max="3" width="11.5546875" bestFit="1" customWidth="1"/>
    <col min="4" max="4" width="40.88671875" bestFit="1" customWidth="1"/>
    <col min="5" max="6" width="8.77734375" bestFit="1" customWidth="1"/>
    <col min="7" max="7" width="18.109375" bestFit="1" customWidth="1"/>
    <col min="8" max="8" width="23.5546875" bestFit="1" customWidth="1"/>
    <col min="9" max="9" width="9.88671875" bestFit="1" customWidth="1"/>
    <col min="10" max="10" width="19.6640625" customWidth="1"/>
    <col min="11" max="11" width="19.77734375" bestFit="1" customWidth="1"/>
    <col min="12" max="24" width="10.6640625" customWidth="1"/>
  </cols>
  <sheetData>
    <row r="1" spans="1:24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34.200000000000003" thickBot="1" x14ac:dyDescent="0.7">
      <c r="A2" s="102" t="s">
        <v>0</v>
      </c>
      <c r="B2" s="100"/>
      <c r="C2" s="100"/>
      <c r="D2" s="100"/>
      <c r="E2" s="100"/>
      <c r="F2" s="100"/>
      <c r="G2" s="100"/>
      <c r="H2" s="100"/>
      <c r="I2" s="101"/>
      <c r="J2" s="8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4.4" x14ac:dyDescent="0.3">
      <c r="A4" s="1"/>
      <c r="B4" s="1"/>
      <c r="C4" s="1"/>
      <c r="D4" s="1"/>
      <c r="E4" s="1"/>
      <c r="F4" s="1"/>
      <c r="G4" s="1"/>
      <c r="H4" s="66" t="s">
        <v>38</v>
      </c>
      <c r="I4" s="84"/>
      <c r="J4" s="8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3">
      <c r="A6" s="1"/>
      <c r="B6" s="103" t="s">
        <v>1</v>
      </c>
      <c r="C6" s="105" t="s">
        <v>2</v>
      </c>
      <c r="D6" s="105" t="s">
        <v>3</v>
      </c>
      <c r="E6" s="105" t="s">
        <v>4</v>
      </c>
      <c r="F6" s="105" t="s">
        <v>5</v>
      </c>
      <c r="G6" s="107" t="s">
        <v>6</v>
      </c>
      <c r="H6" s="1"/>
      <c r="I6" s="109" t="s">
        <v>7</v>
      </c>
      <c r="J6" s="97" t="s">
        <v>45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thickBot="1" x14ac:dyDescent="0.35">
      <c r="A7" s="1"/>
      <c r="B7" s="104"/>
      <c r="C7" s="106"/>
      <c r="D7" s="106"/>
      <c r="E7" s="106"/>
      <c r="F7" s="106"/>
      <c r="G7" s="108"/>
      <c r="H7" s="1"/>
      <c r="I7" s="110"/>
      <c r="J7" s="98"/>
      <c r="K7" s="8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6.2" thickBot="1" x14ac:dyDescent="0.35">
      <c r="A8" s="2" t="s">
        <v>8</v>
      </c>
      <c r="B8" s="3">
        <v>10543</v>
      </c>
      <c r="C8" s="4">
        <v>11458</v>
      </c>
      <c r="D8" s="4">
        <v>13520</v>
      </c>
      <c r="E8" s="4">
        <v>14023</v>
      </c>
      <c r="F8" s="4">
        <v>14983</v>
      </c>
      <c r="G8" s="32">
        <v>14763.899999999992</v>
      </c>
      <c r="H8" s="6"/>
      <c r="I8" s="68">
        <f>SUM(B8:G8)</f>
        <v>79290.899999999994</v>
      </c>
      <c r="J8" s="69" t="s">
        <v>41</v>
      </c>
      <c r="K8" s="8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6.2" thickBot="1" x14ac:dyDescent="0.35">
      <c r="A9" s="7" t="s">
        <v>9</v>
      </c>
      <c r="B9" s="8">
        <v>13855</v>
      </c>
      <c r="C9" s="9">
        <v>16052</v>
      </c>
      <c r="D9" s="9">
        <v>16797</v>
      </c>
      <c r="E9" s="9">
        <v>17582</v>
      </c>
      <c r="F9" s="9">
        <v>18216</v>
      </c>
      <c r="G9" s="10">
        <v>24898.82</v>
      </c>
      <c r="H9" s="6"/>
      <c r="I9" s="68">
        <f>SUM(B9:G9)</f>
        <v>107400.82</v>
      </c>
      <c r="J9" s="69" t="s">
        <v>42</v>
      </c>
      <c r="K9" s="8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6.2" thickBot="1" x14ac:dyDescent="0.35">
      <c r="A10" s="11" t="s">
        <v>10</v>
      </c>
      <c r="B10" s="12">
        <v>3002</v>
      </c>
      <c r="C10" s="13">
        <v>3769</v>
      </c>
      <c r="D10" s="13">
        <v>4230</v>
      </c>
      <c r="E10" s="13">
        <v>4341</v>
      </c>
      <c r="F10" s="13">
        <v>2713</v>
      </c>
      <c r="G10" s="5">
        <v>0</v>
      </c>
      <c r="H10" s="6"/>
      <c r="I10" s="68">
        <f t="shared" ref="I10" si="0">SUM(B10:G10)</f>
        <v>18055</v>
      </c>
      <c r="J10" s="69" t="s">
        <v>43</v>
      </c>
      <c r="K10" s="8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2.5" customHeight="1" thickBot="1" x14ac:dyDescent="0.35">
      <c r="A11" s="14" t="s">
        <v>11</v>
      </c>
      <c r="B11" s="15">
        <v>27400</v>
      </c>
      <c r="C11" s="16">
        <v>31279</v>
      </c>
      <c r="D11" s="16">
        <v>34547</v>
      </c>
      <c r="E11" s="16">
        <v>35946</v>
      </c>
      <c r="F11" s="16">
        <v>35912</v>
      </c>
      <c r="G11" s="72">
        <f>SUM(G8:G10)</f>
        <v>39662.719999999994</v>
      </c>
      <c r="H11" s="17"/>
      <c r="I11" s="68">
        <f>SUM(B11:G11)</f>
        <v>204746.72</v>
      </c>
      <c r="J11" s="69" t="s">
        <v>44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4.4" x14ac:dyDescent="0.3">
      <c r="A12" s="1"/>
      <c r="B12" s="1"/>
      <c r="C12" s="1"/>
      <c r="D12" s="1"/>
      <c r="E12" s="1"/>
      <c r="F12" s="1"/>
      <c r="G12" s="59" t="s">
        <v>39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thickBot="1" x14ac:dyDescent="0.35">
      <c r="A13" s="1"/>
      <c r="B13" s="1"/>
      <c r="C13" s="1"/>
      <c r="D13" s="122" t="s">
        <v>45</v>
      </c>
      <c r="E13" s="123"/>
      <c r="F13" s="123"/>
      <c r="G13" s="123"/>
      <c r="H13" s="123"/>
      <c r="I13" s="123"/>
      <c r="J13" s="12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6.2" thickBot="1" x14ac:dyDescent="0.35">
      <c r="A14" s="18" t="s">
        <v>12</v>
      </c>
      <c r="B14" s="19" t="s">
        <v>13</v>
      </c>
      <c r="C14" s="116" t="s">
        <v>14</v>
      </c>
      <c r="D14" s="125" t="s">
        <v>49</v>
      </c>
      <c r="E14" s="126"/>
      <c r="F14" s="127"/>
      <c r="G14" s="128" t="s">
        <v>14</v>
      </c>
      <c r="H14" s="129"/>
      <c r="I14" s="129"/>
      <c r="J14" s="13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4.4" x14ac:dyDescent="0.3">
      <c r="A15" s="20" t="s">
        <v>15</v>
      </c>
      <c r="B15" s="78">
        <f>COUNTIF('DATA Février (clients affiliés)'!B:B,"&lt;4")</f>
        <v>47</v>
      </c>
      <c r="C15" s="117">
        <f>SUMIF(Table_1[Temps d''achat],"&lt;4",Table_1[Montant])</f>
        <v>1562.7299999999993</v>
      </c>
      <c r="D15" s="119" t="s">
        <v>48</v>
      </c>
      <c r="E15" s="120"/>
      <c r="F15" s="121"/>
      <c r="G15" s="119" t="s">
        <v>50</v>
      </c>
      <c r="H15" s="120"/>
      <c r="I15" s="120"/>
      <c r="J15" s="12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thickBot="1" x14ac:dyDescent="0.35">
      <c r="A16" s="77" t="s">
        <v>16</v>
      </c>
      <c r="B16" s="79">
        <f>COUNTIF('DATA Février (clients affiliés)'!B1:B660,"&gt;9,50")</f>
        <v>91</v>
      </c>
      <c r="C16" s="118">
        <f>SUMIF(Table_1[Temps d''achat],"&gt;9,50",'DATA Février (clients affiliés)'!C:C)</f>
        <v>7363.88</v>
      </c>
      <c r="D16" s="119" t="s">
        <v>47</v>
      </c>
      <c r="E16" s="120"/>
      <c r="F16" s="121"/>
      <c r="G16" s="119" t="s">
        <v>51</v>
      </c>
      <c r="H16" s="120"/>
      <c r="I16" s="120"/>
      <c r="J16" s="12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33" customHeight="1" thickBot="1" x14ac:dyDescent="0.35">
      <c r="A20" s="99" t="s">
        <v>17</v>
      </c>
      <c r="B20" s="100"/>
      <c r="C20" s="100"/>
      <c r="D20" s="100"/>
      <c r="E20" s="100"/>
      <c r="F20" s="100"/>
      <c r="G20" s="100"/>
      <c r="H20" s="100"/>
      <c r="I20" s="101"/>
      <c r="J20" s="8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3">
      <c r="A21" s="21"/>
      <c r="B21" s="1"/>
      <c r="C21" s="1"/>
      <c r="D21" s="1"/>
      <c r="E21" s="1"/>
      <c r="F21" s="1"/>
      <c r="G21" s="1"/>
      <c r="H21" s="1"/>
      <c r="I21" s="2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3">
      <c r="A22" s="21"/>
      <c r="B22" s="1"/>
      <c r="C22" s="1"/>
      <c r="D22" s="1"/>
      <c r="E22" s="1"/>
      <c r="F22" s="1"/>
      <c r="G22" s="1"/>
      <c r="H22" s="1"/>
      <c r="I22" s="2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3">
      <c r="A23" s="21"/>
      <c r="B23" s="1"/>
      <c r="C23" s="1"/>
      <c r="D23" s="1"/>
      <c r="E23" s="1"/>
      <c r="F23" s="1"/>
      <c r="G23" s="1"/>
      <c r="H23" s="1"/>
      <c r="I23" s="2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3">
      <c r="A24" s="21"/>
      <c r="B24" s="1"/>
      <c r="C24" s="1"/>
      <c r="D24" s="1"/>
      <c r="E24" s="1"/>
      <c r="F24" s="1"/>
      <c r="G24" s="1"/>
      <c r="H24" s="1"/>
      <c r="I24" s="2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3">
      <c r="A25" s="21"/>
      <c r="B25" s="1"/>
      <c r="C25" s="1"/>
      <c r="D25" s="1"/>
      <c r="E25" s="1"/>
      <c r="F25" s="1"/>
      <c r="G25" s="1"/>
      <c r="H25" s="1"/>
      <c r="I25" s="2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3">
      <c r="A26" s="21"/>
      <c r="B26" s="1"/>
      <c r="C26" s="1"/>
      <c r="D26" s="1"/>
      <c r="E26" s="1"/>
      <c r="F26" s="1"/>
      <c r="G26" s="1"/>
      <c r="H26" s="1"/>
      <c r="I26" s="2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3">
      <c r="A27" s="21"/>
      <c r="B27" s="1"/>
      <c r="C27" s="1"/>
      <c r="D27" s="1"/>
      <c r="E27" s="1"/>
      <c r="F27" s="1"/>
      <c r="G27" s="1"/>
      <c r="H27" s="1"/>
      <c r="I27" s="2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3">
      <c r="A28" s="21"/>
      <c r="B28" s="1"/>
      <c r="C28" s="1"/>
      <c r="D28" s="1"/>
      <c r="E28" s="1"/>
      <c r="F28" s="1"/>
      <c r="G28" s="1"/>
      <c r="H28" s="1"/>
      <c r="I28" s="2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3">
      <c r="A29" s="21"/>
      <c r="B29" s="1"/>
      <c r="C29" s="1"/>
      <c r="D29" s="1"/>
      <c r="E29" s="1"/>
      <c r="F29" s="1"/>
      <c r="G29" s="1"/>
      <c r="H29" s="1"/>
      <c r="I29" s="2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3">
      <c r="A30" s="21"/>
      <c r="B30" s="1"/>
      <c r="C30" s="1"/>
      <c r="D30" s="1"/>
      <c r="E30" s="1"/>
      <c r="F30" s="1"/>
      <c r="G30" s="1"/>
      <c r="H30" s="1"/>
      <c r="I30" s="2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3">
      <c r="A31" s="21"/>
      <c r="B31" s="1"/>
      <c r="C31" s="1"/>
      <c r="D31" s="1"/>
      <c r="E31" s="1"/>
      <c r="F31" s="1"/>
      <c r="G31" s="1"/>
      <c r="H31" s="1"/>
      <c r="I31" s="2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3">
      <c r="A32" s="21"/>
      <c r="B32" s="1"/>
      <c r="C32" s="1"/>
      <c r="D32" s="1"/>
      <c r="E32" s="1"/>
      <c r="F32" s="1"/>
      <c r="G32" s="1"/>
      <c r="H32" s="1"/>
      <c r="I32" s="2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3">
      <c r="A33" s="21"/>
      <c r="B33" s="1"/>
      <c r="C33" s="1"/>
      <c r="D33" s="1"/>
      <c r="E33" s="1"/>
      <c r="F33" s="1"/>
      <c r="G33" s="1"/>
      <c r="H33" s="1"/>
      <c r="I33" s="2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3">
      <c r="A34" s="21"/>
      <c r="B34" s="1"/>
      <c r="C34" s="1"/>
      <c r="D34" s="1"/>
      <c r="E34" s="1"/>
      <c r="F34" s="1"/>
      <c r="G34" s="1"/>
      <c r="H34" s="1"/>
      <c r="I34" s="2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3">
      <c r="A35" s="21"/>
      <c r="B35" s="1"/>
      <c r="C35" s="1"/>
      <c r="D35" s="1"/>
      <c r="E35" s="1"/>
      <c r="F35" s="1"/>
      <c r="G35" s="1"/>
      <c r="H35" s="1"/>
      <c r="I35" s="2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3">
      <c r="A36" s="21"/>
      <c r="B36" s="1"/>
      <c r="C36" s="1"/>
      <c r="D36" s="1"/>
      <c r="E36" s="1"/>
      <c r="F36" s="1"/>
      <c r="G36" s="1"/>
      <c r="H36" s="1"/>
      <c r="I36" s="2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3">
      <c r="A37" s="21"/>
      <c r="B37" s="1"/>
      <c r="C37" s="1"/>
      <c r="D37" s="1"/>
      <c r="E37" s="1"/>
      <c r="F37" s="1"/>
      <c r="G37" s="1"/>
      <c r="H37" s="1"/>
      <c r="I37" s="2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3">
      <c r="A38" s="21"/>
      <c r="B38" s="1"/>
      <c r="C38" s="1"/>
      <c r="D38" s="1"/>
      <c r="E38" s="1"/>
      <c r="F38" s="1"/>
      <c r="G38" s="1"/>
      <c r="H38" s="1"/>
      <c r="I38" s="2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3">
      <c r="A39" s="21"/>
      <c r="B39" s="1"/>
      <c r="C39" s="1"/>
      <c r="D39" s="1"/>
      <c r="E39" s="1"/>
      <c r="F39" s="1"/>
      <c r="G39" s="1"/>
      <c r="H39" s="1"/>
      <c r="I39" s="2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3">
      <c r="A40" s="21"/>
      <c r="B40" s="1"/>
      <c r="C40" s="1"/>
      <c r="D40" s="1"/>
      <c r="E40" s="1"/>
      <c r="F40" s="1"/>
      <c r="G40" s="1"/>
      <c r="H40" s="1"/>
      <c r="I40" s="2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3">
      <c r="A41" s="21"/>
      <c r="B41" s="1"/>
      <c r="C41" s="1"/>
      <c r="D41" s="1"/>
      <c r="E41" s="1"/>
      <c r="F41" s="1"/>
      <c r="G41" s="1"/>
      <c r="H41" s="1"/>
      <c r="I41" s="2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3">
      <c r="A42" s="21"/>
      <c r="B42" s="1"/>
      <c r="C42" s="1"/>
      <c r="D42" s="1"/>
      <c r="E42" s="1"/>
      <c r="F42" s="1"/>
      <c r="G42" s="1"/>
      <c r="H42" s="1"/>
      <c r="I42" s="2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thickBot="1" x14ac:dyDescent="0.35">
      <c r="A43" s="23"/>
      <c r="B43" s="24"/>
      <c r="C43" s="24"/>
      <c r="D43" s="24"/>
      <c r="E43" s="24"/>
      <c r="F43" s="24"/>
      <c r="G43" s="24"/>
      <c r="H43" s="24"/>
      <c r="I43" s="2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33" customHeight="1" thickBot="1" x14ac:dyDescent="0.35">
      <c r="A45" s="99" t="s">
        <v>18</v>
      </c>
      <c r="B45" s="100"/>
      <c r="C45" s="100"/>
      <c r="D45" s="100"/>
      <c r="E45" s="100"/>
      <c r="F45" s="100"/>
      <c r="G45" s="100"/>
      <c r="H45" s="100"/>
      <c r="I45" s="101"/>
      <c r="J45" s="8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3">
      <c r="A46" s="21"/>
      <c r="B46" s="1"/>
      <c r="C46" s="1"/>
      <c r="D46" s="1"/>
      <c r="E46" s="1"/>
      <c r="F46" s="1"/>
      <c r="G46" s="1"/>
      <c r="H46" s="1"/>
      <c r="I46" s="2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3">
      <c r="A47" s="21"/>
      <c r="B47" s="1"/>
      <c r="C47" s="1"/>
      <c r="D47" s="1"/>
      <c r="E47" s="1"/>
      <c r="F47" s="1"/>
      <c r="G47" s="1"/>
      <c r="H47" s="1"/>
      <c r="I47" s="2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3">
      <c r="A48" s="21"/>
      <c r="B48" s="1"/>
      <c r="C48" s="1"/>
      <c r="D48" s="1"/>
      <c r="E48" s="1"/>
      <c r="F48" s="1"/>
      <c r="G48" s="1"/>
      <c r="H48" s="1"/>
      <c r="I48" s="2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3">
      <c r="A49" s="21"/>
      <c r="B49" s="1"/>
      <c r="C49" s="1"/>
      <c r="D49" s="1"/>
      <c r="E49" s="1"/>
      <c r="F49" s="1"/>
      <c r="G49" s="1"/>
      <c r="H49" s="1"/>
      <c r="I49" s="2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3">
      <c r="A50" s="21"/>
      <c r="B50" s="1"/>
      <c r="C50" s="1"/>
      <c r="D50" s="1"/>
      <c r="E50" s="1"/>
      <c r="F50" s="1"/>
      <c r="G50" s="1"/>
      <c r="H50" s="1"/>
      <c r="I50" s="2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3">
      <c r="A51" s="21"/>
      <c r="B51" s="1"/>
      <c r="C51" s="1"/>
      <c r="D51" s="1"/>
      <c r="E51" s="1"/>
      <c r="F51" s="1"/>
      <c r="G51" s="1"/>
      <c r="H51" s="1"/>
      <c r="I51" s="2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3">
      <c r="A52" s="21"/>
      <c r="B52" s="1"/>
      <c r="C52" s="1"/>
      <c r="D52" s="1"/>
      <c r="E52" s="1"/>
      <c r="F52" s="1"/>
      <c r="G52" s="1"/>
      <c r="H52" s="1"/>
      <c r="I52" s="2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3">
      <c r="A53" s="21"/>
      <c r="B53" s="1"/>
      <c r="C53" s="1"/>
      <c r="D53" s="1"/>
      <c r="E53" s="1"/>
      <c r="F53" s="1"/>
      <c r="G53" s="1"/>
      <c r="H53" s="1"/>
      <c r="I53" s="2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3">
      <c r="A54" s="21"/>
      <c r="B54" s="1"/>
      <c r="C54" s="1"/>
      <c r="D54" s="1"/>
      <c r="E54" s="1"/>
      <c r="F54" s="1"/>
      <c r="G54" s="1"/>
      <c r="H54" s="1"/>
      <c r="I54" s="2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3">
      <c r="A55" s="21"/>
      <c r="B55" s="1"/>
      <c r="C55" s="1"/>
      <c r="D55" s="1"/>
      <c r="E55" s="1"/>
      <c r="F55" s="1"/>
      <c r="G55" s="1"/>
      <c r="H55" s="1"/>
      <c r="I55" s="2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3">
      <c r="A56" s="21"/>
      <c r="B56" s="1"/>
      <c r="C56" s="1"/>
      <c r="D56" s="1"/>
      <c r="E56" s="1"/>
      <c r="F56" s="1"/>
      <c r="G56" s="1"/>
      <c r="H56" s="1"/>
      <c r="I56" s="2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3">
      <c r="A57" s="21"/>
      <c r="B57" s="1"/>
      <c r="C57" s="1"/>
      <c r="D57" s="1"/>
      <c r="E57" s="1"/>
      <c r="F57" s="1"/>
      <c r="G57" s="1"/>
      <c r="H57" s="1"/>
      <c r="I57" s="2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3">
      <c r="A58" s="21"/>
      <c r="B58" s="1"/>
      <c r="C58" s="1"/>
      <c r="D58" s="1"/>
      <c r="E58" s="1"/>
      <c r="F58" s="1"/>
      <c r="G58" s="1"/>
      <c r="H58" s="1"/>
      <c r="I58" s="2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3">
      <c r="A59" s="21"/>
      <c r="B59" s="1"/>
      <c r="C59" s="1"/>
      <c r="D59" s="1"/>
      <c r="E59" s="1"/>
      <c r="F59" s="1"/>
      <c r="G59" s="1"/>
      <c r="H59" s="1"/>
      <c r="I59" s="2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3">
      <c r="A60" s="21"/>
      <c r="B60" s="1"/>
      <c r="C60" s="1"/>
      <c r="D60" s="1"/>
      <c r="E60" s="1"/>
      <c r="F60" s="1"/>
      <c r="G60" s="1"/>
      <c r="H60" s="1"/>
      <c r="I60" s="2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3">
      <c r="A61" s="21"/>
      <c r="B61" s="1"/>
      <c r="C61" s="1"/>
      <c r="D61" s="1"/>
      <c r="E61" s="1"/>
      <c r="F61" s="1"/>
      <c r="G61" s="1"/>
      <c r="H61" s="1"/>
      <c r="I61" s="2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3">
      <c r="A62" s="21"/>
      <c r="B62" s="1"/>
      <c r="C62" s="1"/>
      <c r="D62" s="1"/>
      <c r="E62" s="1"/>
      <c r="F62" s="1"/>
      <c r="G62" s="1"/>
      <c r="H62" s="1"/>
      <c r="I62" s="2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3">
      <c r="A63" s="21"/>
      <c r="B63" s="1"/>
      <c r="C63" s="1"/>
      <c r="D63" s="1"/>
      <c r="E63" s="1"/>
      <c r="F63" s="1"/>
      <c r="G63" s="1"/>
      <c r="H63" s="1"/>
      <c r="I63" s="2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3">
      <c r="A64" s="21"/>
      <c r="B64" s="1"/>
      <c r="C64" s="1"/>
      <c r="D64" s="1"/>
      <c r="E64" s="1"/>
      <c r="F64" s="1"/>
      <c r="G64" s="1"/>
      <c r="H64" s="1"/>
      <c r="I64" s="2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3">
      <c r="A65" s="21"/>
      <c r="B65" s="1"/>
      <c r="C65" s="1"/>
      <c r="D65" s="1"/>
      <c r="E65" s="1"/>
      <c r="F65" s="1"/>
      <c r="G65" s="1"/>
      <c r="H65" s="1"/>
      <c r="I65" s="2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3">
      <c r="A66" s="21"/>
      <c r="B66" s="1"/>
      <c r="C66" s="1"/>
      <c r="D66" s="1"/>
      <c r="E66" s="1"/>
      <c r="F66" s="1"/>
      <c r="G66" s="1"/>
      <c r="H66" s="1"/>
      <c r="I66" s="2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3">
      <c r="A67" s="21"/>
      <c r="B67" s="1"/>
      <c r="C67" s="1"/>
      <c r="D67" s="1"/>
      <c r="E67" s="1"/>
      <c r="F67" s="1"/>
      <c r="G67" s="1"/>
      <c r="H67" s="1"/>
      <c r="I67" s="2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thickBot="1" x14ac:dyDescent="0.35">
      <c r="A68" s="23"/>
      <c r="B68" s="24"/>
      <c r="C68" s="24"/>
      <c r="D68" s="24"/>
      <c r="E68" s="24"/>
      <c r="F68" s="24"/>
      <c r="G68" s="24"/>
      <c r="H68" s="24"/>
      <c r="I68" s="25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1"/>
    </row>
    <row r="69" spans="1:24" ht="15.75" customHeight="1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1"/>
    </row>
    <row r="70" spans="1:24" ht="33" customHeight="1" thickBot="1" x14ac:dyDescent="0.35">
      <c r="A70" s="111" t="s">
        <v>19</v>
      </c>
      <c r="B70" s="112"/>
      <c r="C70" s="112"/>
      <c r="D70" s="112"/>
      <c r="E70" s="112"/>
      <c r="F70" s="112"/>
      <c r="G70" s="112"/>
      <c r="H70" s="112"/>
      <c r="I70" s="112"/>
      <c r="J70" s="94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1"/>
    </row>
    <row r="71" spans="1:24" ht="15.75" customHeight="1" x14ac:dyDescent="0.3">
      <c r="A71" s="21"/>
      <c r="B71" s="1"/>
      <c r="C71" s="1"/>
      <c r="D71" s="1"/>
      <c r="E71" s="1"/>
      <c r="F71" s="1"/>
      <c r="G71" s="1"/>
      <c r="H71" s="1"/>
      <c r="I71" s="22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1"/>
    </row>
    <row r="72" spans="1:24" ht="15.75" customHeight="1" x14ac:dyDescent="0.3">
      <c r="A72" s="21"/>
      <c r="B72" s="1"/>
      <c r="C72" s="1"/>
      <c r="D72" s="1"/>
      <c r="E72" s="1"/>
      <c r="F72" s="1"/>
      <c r="G72" s="1"/>
      <c r="H72" s="1"/>
      <c r="I72" s="22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1"/>
    </row>
    <row r="73" spans="1:24" ht="15.75" customHeight="1" x14ac:dyDescent="0.3">
      <c r="A73" s="21"/>
      <c r="B73" s="1"/>
      <c r="C73" s="1"/>
      <c r="D73" s="1"/>
      <c r="E73" s="1"/>
      <c r="F73" s="1"/>
      <c r="G73" s="1"/>
      <c r="H73" s="1"/>
      <c r="I73" s="22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1"/>
    </row>
    <row r="74" spans="1:24" ht="15.75" customHeight="1" x14ac:dyDescent="0.3">
      <c r="A74" s="21"/>
      <c r="B74" s="1"/>
      <c r="C74" s="1"/>
      <c r="D74" s="1"/>
      <c r="E74" s="1"/>
      <c r="F74" s="1"/>
      <c r="G74" s="1"/>
      <c r="H74" s="1"/>
      <c r="I74" s="22"/>
      <c r="J74" s="70"/>
      <c r="K74" s="95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1"/>
    </row>
    <row r="75" spans="1:24" ht="15.75" customHeight="1" x14ac:dyDescent="0.3">
      <c r="A75" s="21"/>
      <c r="B75" s="1"/>
      <c r="C75" s="1"/>
      <c r="D75" s="1"/>
      <c r="E75" s="1"/>
      <c r="F75" s="1"/>
      <c r="G75" s="1"/>
      <c r="H75" s="1"/>
      <c r="I75" s="22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1"/>
    </row>
    <row r="76" spans="1:24" ht="15.75" customHeight="1" x14ac:dyDescent="0.3">
      <c r="A76" s="21"/>
      <c r="B76" s="1"/>
      <c r="C76" s="1"/>
      <c r="D76" s="1"/>
      <c r="E76" s="1"/>
      <c r="F76" s="1"/>
      <c r="G76" s="1"/>
      <c r="H76" s="1"/>
      <c r="I76" s="22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1"/>
    </row>
    <row r="77" spans="1:24" ht="15.75" customHeight="1" x14ac:dyDescent="0.3">
      <c r="A77" s="21"/>
      <c r="B77" s="1"/>
      <c r="C77" s="1"/>
      <c r="D77" s="1"/>
      <c r="E77" s="1"/>
      <c r="F77" s="1"/>
      <c r="G77" s="1"/>
      <c r="H77" s="1"/>
      <c r="I77" s="22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1"/>
    </row>
    <row r="78" spans="1:24" ht="15.75" customHeight="1" x14ac:dyDescent="0.3">
      <c r="A78" s="21"/>
      <c r="B78" s="1"/>
      <c r="C78" s="1"/>
      <c r="D78" s="1"/>
      <c r="E78" s="1"/>
      <c r="F78" s="1"/>
      <c r="G78" s="1"/>
      <c r="H78" s="1"/>
      <c r="I78" s="22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1"/>
    </row>
    <row r="79" spans="1:24" ht="15.75" customHeight="1" x14ac:dyDescent="0.3">
      <c r="A79" s="21"/>
      <c r="B79" s="1"/>
      <c r="C79" s="1"/>
      <c r="D79" s="1"/>
      <c r="E79" s="1"/>
      <c r="F79" s="1"/>
      <c r="G79" s="1"/>
      <c r="H79" s="1"/>
      <c r="I79" s="22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1"/>
    </row>
    <row r="80" spans="1:24" ht="15.75" customHeight="1" x14ac:dyDescent="0.3">
      <c r="A80" s="21"/>
      <c r="B80" s="1"/>
      <c r="C80" s="1"/>
      <c r="D80" s="1"/>
      <c r="E80" s="1"/>
      <c r="F80" s="1"/>
      <c r="G80" s="1"/>
      <c r="H80" s="1"/>
      <c r="I80" s="2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3">
      <c r="A81" s="21"/>
      <c r="B81" s="1"/>
      <c r="C81" s="1"/>
      <c r="D81" s="1"/>
      <c r="E81" s="1"/>
      <c r="F81" s="1"/>
      <c r="G81" s="1"/>
      <c r="H81" s="1"/>
      <c r="I81" s="22"/>
      <c r="J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3">
      <c r="A82" s="21"/>
      <c r="B82" s="1"/>
      <c r="C82" s="1"/>
      <c r="D82" s="1"/>
      <c r="E82" s="1"/>
      <c r="F82" s="1"/>
      <c r="G82" s="1"/>
      <c r="H82" s="1"/>
      <c r="I82" s="2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3">
      <c r="A83" s="21"/>
      <c r="B83" s="1"/>
      <c r="C83" s="1"/>
      <c r="D83" s="1"/>
      <c r="E83" s="1"/>
      <c r="F83" s="1"/>
      <c r="G83" s="1"/>
      <c r="H83" s="1"/>
      <c r="I83" s="2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3">
      <c r="A84" s="21"/>
      <c r="B84" s="1"/>
      <c r="C84" s="1"/>
      <c r="D84" s="1"/>
      <c r="E84" s="1"/>
      <c r="F84" s="1"/>
      <c r="G84" s="1"/>
      <c r="H84" s="1"/>
      <c r="I84" s="2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3">
      <c r="A85" s="21"/>
      <c r="B85" s="1"/>
      <c r="C85" s="1"/>
      <c r="D85" s="1"/>
      <c r="E85" s="1"/>
      <c r="F85" s="1"/>
      <c r="G85" s="1"/>
      <c r="H85" s="1"/>
      <c r="I85" s="2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3">
      <c r="A86" s="21"/>
      <c r="B86" s="1"/>
      <c r="C86" s="1"/>
      <c r="D86" s="1"/>
      <c r="E86" s="1"/>
      <c r="F86" s="1"/>
      <c r="G86" s="1"/>
      <c r="H86" s="1"/>
      <c r="I86" s="2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 x14ac:dyDescent="0.3">
      <c r="A87" s="21"/>
      <c r="B87" s="1"/>
      <c r="C87" s="1"/>
      <c r="D87" s="1"/>
      <c r="E87" s="1"/>
      <c r="F87" s="1"/>
      <c r="G87" s="1"/>
      <c r="H87" s="1"/>
      <c r="I87" s="2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 x14ac:dyDescent="0.3">
      <c r="A88" s="21"/>
      <c r="B88" s="1"/>
      <c r="C88" s="1"/>
      <c r="D88" s="1"/>
      <c r="E88" s="1"/>
      <c r="F88" s="1"/>
      <c r="G88" s="1"/>
      <c r="H88" s="1"/>
      <c r="I88" s="2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 x14ac:dyDescent="0.3">
      <c r="A89" s="21"/>
      <c r="B89" s="1"/>
      <c r="C89" s="1"/>
      <c r="D89" s="1"/>
      <c r="E89" s="1"/>
      <c r="F89" s="1"/>
      <c r="G89" s="1"/>
      <c r="H89" s="1"/>
      <c r="I89" s="2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 x14ac:dyDescent="0.3">
      <c r="A90" s="21"/>
      <c r="B90" s="1"/>
      <c r="C90" s="1"/>
      <c r="D90" s="1"/>
      <c r="E90" s="1"/>
      <c r="F90" s="1"/>
      <c r="G90" s="1"/>
      <c r="H90" s="1"/>
      <c r="I90" s="2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 x14ac:dyDescent="0.3">
      <c r="A91" s="21"/>
      <c r="B91" s="1"/>
      <c r="C91" s="1"/>
      <c r="D91" s="1"/>
      <c r="E91" s="1"/>
      <c r="F91" s="1"/>
      <c r="G91" s="1"/>
      <c r="H91" s="1"/>
      <c r="I91" s="2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3">
      <c r="A92" s="21"/>
      <c r="B92" s="1"/>
      <c r="C92" s="1"/>
      <c r="D92" s="1"/>
      <c r="E92" s="1"/>
      <c r="F92" s="1"/>
      <c r="G92" s="1"/>
      <c r="H92" s="1"/>
      <c r="I92" s="2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 thickBot="1" x14ac:dyDescent="0.35">
      <c r="A93" s="23"/>
      <c r="B93" s="24"/>
      <c r="C93" s="24"/>
      <c r="D93" s="24"/>
      <c r="E93" s="24"/>
      <c r="F93" s="24"/>
      <c r="G93" s="24"/>
      <c r="H93" s="24"/>
      <c r="I93" s="2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33" customHeight="1" thickBot="1" x14ac:dyDescent="0.35">
      <c r="A95" s="99" t="s">
        <v>20</v>
      </c>
      <c r="B95" s="100"/>
      <c r="C95" s="100"/>
      <c r="D95" s="100"/>
      <c r="E95" s="100"/>
      <c r="F95" s="100"/>
      <c r="G95" s="100"/>
      <c r="H95" s="100"/>
      <c r="I95" s="101"/>
      <c r="J95" s="8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 x14ac:dyDescent="0.3">
      <c r="A96" s="21"/>
      <c r="B96" s="1"/>
      <c r="C96" s="1"/>
      <c r="D96" s="1"/>
      <c r="E96" s="1"/>
      <c r="F96" s="1"/>
      <c r="G96" s="1"/>
      <c r="H96" s="1"/>
      <c r="I96" s="2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 x14ac:dyDescent="0.3">
      <c r="A97" s="21"/>
      <c r="B97" s="1"/>
      <c r="C97" s="1"/>
      <c r="D97" s="1"/>
      <c r="E97" s="1"/>
      <c r="F97" s="1"/>
      <c r="G97" s="1"/>
      <c r="H97" s="1"/>
      <c r="I97" s="2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 x14ac:dyDescent="0.3">
      <c r="A98" s="21"/>
      <c r="B98" s="1"/>
      <c r="C98" s="1"/>
      <c r="D98" s="1"/>
      <c r="E98" s="1"/>
      <c r="F98" s="1"/>
      <c r="G98" s="1"/>
      <c r="H98" s="1"/>
      <c r="I98" s="2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 x14ac:dyDescent="0.3">
      <c r="A99" s="21"/>
      <c r="B99" s="1"/>
      <c r="C99" s="1"/>
      <c r="D99" s="1"/>
      <c r="E99" s="1"/>
      <c r="F99" s="1"/>
      <c r="G99" s="1"/>
      <c r="H99" s="1"/>
      <c r="I99" s="2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 x14ac:dyDescent="0.3">
      <c r="A100" s="21"/>
      <c r="B100" s="1"/>
      <c r="C100" s="1"/>
      <c r="D100" s="1"/>
      <c r="E100" s="1"/>
      <c r="F100" s="1"/>
      <c r="G100" s="1"/>
      <c r="H100" s="1"/>
      <c r="I100" s="2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 x14ac:dyDescent="0.3">
      <c r="A101" s="21"/>
      <c r="B101" s="1"/>
      <c r="C101" s="1"/>
      <c r="D101" s="1"/>
      <c r="E101" s="1"/>
      <c r="F101" s="1"/>
      <c r="G101" s="1"/>
      <c r="H101" s="1"/>
      <c r="I101" s="2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 x14ac:dyDescent="0.3">
      <c r="A102" s="21"/>
      <c r="B102" s="1"/>
      <c r="C102" s="1"/>
      <c r="D102" s="1"/>
      <c r="E102" s="1"/>
      <c r="F102" s="1"/>
      <c r="G102" s="1"/>
      <c r="H102" s="1"/>
      <c r="I102" s="2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 x14ac:dyDescent="0.3">
      <c r="A103" s="21"/>
      <c r="B103" s="1"/>
      <c r="C103" s="1"/>
      <c r="D103" s="1"/>
      <c r="E103" s="1"/>
      <c r="F103" s="1"/>
      <c r="G103" s="1"/>
      <c r="H103" s="1"/>
      <c r="I103" s="2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 x14ac:dyDescent="0.3">
      <c r="A104" s="21"/>
      <c r="B104" s="1"/>
      <c r="C104" s="1"/>
      <c r="D104" s="1"/>
      <c r="E104" s="1"/>
      <c r="F104" s="1"/>
      <c r="G104" s="1"/>
      <c r="H104" s="1"/>
      <c r="I104" s="2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 x14ac:dyDescent="0.3">
      <c r="A105" s="21"/>
      <c r="B105" s="1"/>
      <c r="C105" s="1"/>
      <c r="D105" s="1"/>
      <c r="E105" s="1"/>
      <c r="F105" s="1"/>
      <c r="G105" s="1"/>
      <c r="H105" s="1"/>
      <c r="I105" s="2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 x14ac:dyDescent="0.3">
      <c r="A106" s="21"/>
      <c r="B106" s="1"/>
      <c r="C106" s="1"/>
      <c r="D106" s="1"/>
      <c r="E106" s="1"/>
      <c r="F106" s="1"/>
      <c r="G106" s="1"/>
      <c r="H106" s="1"/>
      <c r="I106" s="2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 x14ac:dyDescent="0.3">
      <c r="A107" s="21"/>
      <c r="B107" s="1"/>
      <c r="C107" s="1"/>
      <c r="D107" s="1"/>
      <c r="E107" s="1"/>
      <c r="F107" s="1"/>
      <c r="G107" s="1"/>
      <c r="H107" s="1"/>
      <c r="I107" s="2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 x14ac:dyDescent="0.3">
      <c r="A108" s="21"/>
      <c r="B108" s="1"/>
      <c r="C108" s="1"/>
      <c r="D108" s="1"/>
      <c r="E108" s="1"/>
      <c r="F108" s="1"/>
      <c r="G108" s="1"/>
      <c r="H108" s="1"/>
      <c r="I108" s="2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 x14ac:dyDescent="0.3">
      <c r="A109" s="21"/>
      <c r="B109" s="1"/>
      <c r="C109" s="1"/>
      <c r="D109" s="1"/>
      <c r="E109" s="1"/>
      <c r="F109" s="1"/>
      <c r="G109" s="1"/>
      <c r="H109" s="1"/>
      <c r="I109" s="2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 x14ac:dyDescent="0.3">
      <c r="A110" s="21"/>
      <c r="B110" s="1"/>
      <c r="C110" s="1"/>
      <c r="D110" s="1"/>
      <c r="E110" s="1"/>
      <c r="F110" s="1"/>
      <c r="G110" s="1"/>
      <c r="H110" s="1"/>
      <c r="I110" s="2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 x14ac:dyDescent="0.3">
      <c r="A111" s="21"/>
      <c r="B111" s="1"/>
      <c r="C111" s="1"/>
      <c r="D111" s="1"/>
      <c r="E111" s="1"/>
      <c r="F111" s="1"/>
      <c r="G111" s="1"/>
      <c r="H111" s="1"/>
      <c r="I111" s="2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 x14ac:dyDescent="0.3">
      <c r="A112" s="21"/>
      <c r="B112" s="1"/>
      <c r="C112" s="1"/>
      <c r="D112" s="1"/>
      <c r="E112" s="1"/>
      <c r="F112" s="1"/>
      <c r="G112" s="1"/>
      <c r="H112" s="1"/>
      <c r="I112" s="2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 x14ac:dyDescent="0.3">
      <c r="A113" s="21"/>
      <c r="B113" s="1"/>
      <c r="C113" s="1"/>
      <c r="D113" s="1"/>
      <c r="E113" s="1"/>
      <c r="F113" s="1"/>
      <c r="G113" s="1"/>
      <c r="H113" s="1"/>
      <c r="I113" s="2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 x14ac:dyDescent="0.3">
      <c r="A114" s="21"/>
      <c r="B114" s="1"/>
      <c r="C114" s="1"/>
      <c r="D114" s="1"/>
      <c r="E114" s="1"/>
      <c r="F114" s="1"/>
      <c r="G114" s="1"/>
      <c r="H114" s="1"/>
      <c r="I114" s="2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 x14ac:dyDescent="0.3">
      <c r="A115" s="21"/>
      <c r="B115" s="1"/>
      <c r="C115" s="1"/>
      <c r="D115" s="1"/>
      <c r="E115" s="1"/>
      <c r="F115" s="1"/>
      <c r="G115" s="1"/>
      <c r="H115" s="1"/>
      <c r="I115" s="2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 x14ac:dyDescent="0.3">
      <c r="A116" s="21"/>
      <c r="B116" s="1"/>
      <c r="C116" s="1"/>
      <c r="D116" s="1"/>
      <c r="E116" s="1"/>
      <c r="F116" s="1"/>
      <c r="G116" s="1"/>
      <c r="H116" s="1"/>
      <c r="I116" s="2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 x14ac:dyDescent="0.3">
      <c r="A117" s="21"/>
      <c r="B117" s="1"/>
      <c r="C117" s="1"/>
      <c r="D117" s="1"/>
      <c r="E117" s="1"/>
      <c r="F117" s="1"/>
      <c r="G117" s="1"/>
      <c r="H117" s="1"/>
      <c r="I117" s="2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 thickBot="1" x14ac:dyDescent="0.35">
      <c r="A118" s="23"/>
      <c r="B118" s="24"/>
      <c r="C118" s="24"/>
      <c r="D118" s="24"/>
      <c r="E118" s="24"/>
      <c r="F118" s="24"/>
      <c r="G118" s="24"/>
      <c r="H118" s="24"/>
      <c r="I118" s="2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33" customHeight="1" thickBot="1" x14ac:dyDescent="0.35">
      <c r="A120" s="99" t="s">
        <v>21</v>
      </c>
      <c r="B120" s="100"/>
      <c r="C120" s="100"/>
      <c r="D120" s="100"/>
      <c r="E120" s="100"/>
      <c r="F120" s="100"/>
      <c r="G120" s="100"/>
      <c r="H120" s="100"/>
      <c r="I120" s="101"/>
      <c r="J120" s="8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 x14ac:dyDescent="0.3">
      <c r="A121" s="21"/>
      <c r="B121" s="1"/>
      <c r="C121" s="1"/>
      <c r="D121" s="1"/>
      <c r="E121" s="1"/>
      <c r="F121" s="1"/>
      <c r="G121" s="1"/>
      <c r="H121" s="1"/>
      <c r="I121" s="2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 x14ac:dyDescent="0.3">
      <c r="A122" s="21"/>
      <c r="B122" s="1"/>
      <c r="C122" s="1"/>
      <c r="D122" s="1"/>
      <c r="E122" s="1"/>
      <c r="F122" s="1"/>
      <c r="G122" s="1"/>
      <c r="H122" s="1"/>
      <c r="I122" s="2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 x14ac:dyDescent="0.3">
      <c r="A123" s="21"/>
      <c r="B123" s="1"/>
      <c r="C123" s="1"/>
      <c r="D123" s="1"/>
      <c r="E123" s="1"/>
      <c r="F123" s="1"/>
      <c r="G123" s="1"/>
      <c r="H123" s="1"/>
      <c r="I123" s="2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 x14ac:dyDescent="0.3">
      <c r="A124" s="21"/>
      <c r="B124" s="1"/>
      <c r="C124" s="1"/>
      <c r="D124" s="1"/>
      <c r="E124" s="1"/>
      <c r="F124" s="1"/>
      <c r="G124" s="1"/>
      <c r="H124" s="1"/>
      <c r="I124" s="2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 x14ac:dyDescent="0.3">
      <c r="A125" s="21"/>
      <c r="B125" s="1"/>
      <c r="C125" s="1"/>
      <c r="D125" s="1"/>
      <c r="E125" s="1"/>
      <c r="F125" s="1"/>
      <c r="G125" s="1"/>
      <c r="H125" s="1"/>
      <c r="I125" s="2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 x14ac:dyDescent="0.3">
      <c r="A126" s="21"/>
      <c r="B126" s="1"/>
      <c r="C126" s="1"/>
      <c r="D126" s="1"/>
      <c r="E126" s="1"/>
      <c r="F126" s="1"/>
      <c r="G126" s="1"/>
      <c r="H126" s="1"/>
      <c r="I126" s="2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 x14ac:dyDescent="0.3">
      <c r="A127" s="21"/>
      <c r="B127" s="1"/>
      <c r="C127" s="1"/>
      <c r="D127" s="1"/>
      <c r="E127" s="1"/>
      <c r="F127" s="1"/>
      <c r="G127" s="1"/>
      <c r="H127" s="1"/>
      <c r="I127" s="2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 x14ac:dyDescent="0.3">
      <c r="A128" s="21"/>
      <c r="B128" s="1"/>
      <c r="C128" s="1"/>
      <c r="D128" s="1"/>
      <c r="E128" s="1"/>
      <c r="F128" s="1"/>
      <c r="G128" s="1"/>
      <c r="H128" s="1"/>
      <c r="I128" s="2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 x14ac:dyDescent="0.3">
      <c r="A129" s="21"/>
      <c r="B129" s="1"/>
      <c r="C129" s="1"/>
      <c r="D129" s="1"/>
      <c r="E129" s="1"/>
      <c r="F129" s="1"/>
      <c r="G129" s="1"/>
      <c r="H129" s="1"/>
      <c r="I129" s="2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 x14ac:dyDescent="0.3">
      <c r="A130" s="21"/>
      <c r="B130" s="1"/>
      <c r="C130" s="1"/>
      <c r="D130" s="1"/>
      <c r="E130" s="1"/>
      <c r="F130" s="1"/>
      <c r="G130" s="1"/>
      <c r="H130" s="1"/>
      <c r="I130" s="2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 x14ac:dyDescent="0.3">
      <c r="A131" s="21"/>
      <c r="B131" s="1"/>
      <c r="C131" s="1"/>
      <c r="D131" s="1"/>
      <c r="E131" s="1"/>
      <c r="F131" s="1"/>
      <c r="G131" s="1"/>
      <c r="H131" s="1"/>
      <c r="I131" s="2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 x14ac:dyDescent="0.3">
      <c r="A132" s="21"/>
      <c r="B132" s="1"/>
      <c r="C132" s="1"/>
      <c r="D132" s="1"/>
      <c r="E132" s="1"/>
      <c r="F132" s="1"/>
      <c r="G132" s="1"/>
      <c r="H132" s="1"/>
      <c r="I132" s="2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 x14ac:dyDescent="0.3">
      <c r="A133" s="21"/>
      <c r="B133" s="1"/>
      <c r="C133" s="1"/>
      <c r="D133" s="1"/>
      <c r="E133" s="1"/>
      <c r="F133" s="1"/>
      <c r="G133" s="1"/>
      <c r="H133" s="1"/>
      <c r="I133" s="2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 x14ac:dyDescent="0.3">
      <c r="A134" s="21"/>
      <c r="B134" s="1"/>
      <c r="C134" s="1"/>
      <c r="D134" s="1"/>
      <c r="E134" s="1"/>
      <c r="F134" s="1"/>
      <c r="G134" s="1"/>
      <c r="H134" s="1"/>
      <c r="I134" s="2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 x14ac:dyDescent="0.3">
      <c r="A135" s="21"/>
      <c r="B135" s="1"/>
      <c r="C135" s="1"/>
      <c r="D135" s="1"/>
      <c r="E135" s="1"/>
      <c r="F135" s="1"/>
      <c r="G135" s="1"/>
      <c r="H135" s="1"/>
      <c r="I135" s="2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 x14ac:dyDescent="0.3">
      <c r="A136" s="21"/>
      <c r="B136" s="1"/>
      <c r="C136" s="1"/>
      <c r="D136" s="1"/>
      <c r="E136" s="1"/>
      <c r="F136" s="1"/>
      <c r="G136" s="1"/>
      <c r="H136" s="1"/>
      <c r="I136" s="2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 x14ac:dyDescent="0.3">
      <c r="A137" s="21"/>
      <c r="B137" s="1"/>
      <c r="C137" s="1"/>
      <c r="D137" s="1"/>
      <c r="E137" s="1"/>
      <c r="F137" s="1"/>
      <c r="G137" s="1"/>
      <c r="H137" s="1"/>
      <c r="I137" s="22"/>
      <c r="J137" s="1"/>
      <c r="K137" s="1"/>
      <c r="L137" s="1"/>
      <c r="M137" s="70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 x14ac:dyDescent="0.3">
      <c r="A138" s="21"/>
      <c r="B138" s="1"/>
      <c r="C138" s="1"/>
      <c r="D138" s="1"/>
      <c r="E138" s="1"/>
      <c r="F138" s="1"/>
      <c r="G138" s="1"/>
      <c r="H138" s="1"/>
      <c r="I138" s="2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 x14ac:dyDescent="0.3">
      <c r="A139" s="21"/>
      <c r="B139" s="1"/>
      <c r="C139" s="1"/>
      <c r="D139" s="1"/>
      <c r="E139" s="1"/>
      <c r="F139" s="1"/>
      <c r="G139" s="1"/>
      <c r="H139" s="1"/>
      <c r="I139" s="2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 x14ac:dyDescent="0.3">
      <c r="A140" s="21"/>
      <c r="B140" s="1"/>
      <c r="C140" s="1"/>
      <c r="D140" s="1"/>
      <c r="E140" s="1"/>
      <c r="F140" s="1"/>
      <c r="G140" s="1"/>
      <c r="H140" s="1"/>
      <c r="I140" s="2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 x14ac:dyDescent="0.3">
      <c r="A141" s="21"/>
      <c r="B141" s="1"/>
      <c r="C141" s="1"/>
      <c r="D141" s="1"/>
      <c r="E141" s="1"/>
      <c r="F141" s="1"/>
      <c r="G141" s="1"/>
      <c r="H141" s="1"/>
      <c r="I141" s="2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 x14ac:dyDescent="0.3">
      <c r="A142" s="21"/>
      <c r="B142" s="1"/>
      <c r="C142" s="1"/>
      <c r="D142" s="1"/>
      <c r="E142" s="1"/>
      <c r="F142" s="1"/>
      <c r="G142" s="1"/>
      <c r="H142" s="1"/>
      <c r="I142" s="2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 thickBot="1" x14ac:dyDescent="0.35">
      <c r="A143" s="23"/>
      <c r="B143" s="24"/>
      <c r="C143" s="24"/>
      <c r="D143" s="24"/>
      <c r="E143" s="24"/>
      <c r="F143" s="24"/>
      <c r="G143" s="24"/>
      <c r="H143" s="24"/>
      <c r="I143" s="2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hidden="1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hidden="1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hidden="1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hidden="1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hidden="1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hidden="1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hidden="1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hidden="1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hidden="1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hidden="1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hidden="1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hidden="1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hidden="1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hidden="1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hidden="1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hidden="1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hidden="1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hidden="1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hidden="1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hidden="1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hidden="1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hidden="1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hidden="1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hidden="1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hidden="1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hidden="1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hidden="1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22">
    <mergeCell ref="G16:J16"/>
    <mergeCell ref="D16:F16"/>
    <mergeCell ref="D15:F15"/>
    <mergeCell ref="D14:F14"/>
    <mergeCell ref="D13:J13"/>
    <mergeCell ref="G14:J14"/>
    <mergeCell ref="G15:J15"/>
    <mergeCell ref="K70:W70"/>
    <mergeCell ref="J6:J7"/>
    <mergeCell ref="A120:I120"/>
    <mergeCell ref="A2:I2"/>
    <mergeCell ref="B6:B7"/>
    <mergeCell ref="C6:C7"/>
    <mergeCell ref="D6:D7"/>
    <mergeCell ref="E6:E7"/>
    <mergeCell ref="F6:F7"/>
    <mergeCell ref="G6:G7"/>
    <mergeCell ref="I6:I7"/>
    <mergeCell ref="A20:I20"/>
    <mergeCell ref="A45:I45"/>
    <mergeCell ref="A70:I70"/>
    <mergeCell ref="A95:I95"/>
  </mergeCells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6E5C-DA93-41DB-9EC4-9271E0247884}">
  <sheetPr codeName="Feuil2"/>
  <dimension ref="A1"/>
  <sheetViews>
    <sheetView workbookViewId="0">
      <selection activeCell="N17" sqref="N1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>
    <tabColor theme="9"/>
  </sheetPr>
  <dimension ref="A1:J1002"/>
  <sheetViews>
    <sheetView showGridLines="0" topLeftCell="A12" workbookViewId="0">
      <selection activeCell="H23" sqref="H23"/>
    </sheetView>
  </sheetViews>
  <sheetFormatPr baseColWidth="10" defaultColWidth="14.44140625" defaultRowHeight="15" customHeight="1" x14ac:dyDescent="0.3"/>
  <cols>
    <col min="1" max="1" width="11.88671875" bestFit="1" customWidth="1"/>
    <col min="2" max="2" width="14.88671875" bestFit="1" customWidth="1"/>
    <col min="3" max="3" width="9.21875" bestFit="1" customWidth="1"/>
    <col min="4" max="4" width="14.109375" bestFit="1" customWidth="1"/>
    <col min="5" max="5" width="12" bestFit="1" customWidth="1"/>
    <col min="6" max="6" width="17.21875" bestFit="1" customWidth="1"/>
    <col min="7" max="7" width="10.44140625" bestFit="1" customWidth="1"/>
    <col min="8" max="8" width="19.6640625" bestFit="1" customWidth="1"/>
    <col min="9" max="9" width="18.88671875" bestFit="1" customWidth="1"/>
    <col min="10" max="10" width="22" style="81" bestFit="1" customWidth="1"/>
    <col min="11" max="239" width="8.21875" bestFit="1" customWidth="1"/>
    <col min="240" max="242" width="9.21875" bestFit="1" customWidth="1"/>
    <col min="243" max="243" width="17.5546875" bestFit="1" customWidth="1"/>
    <col min="244" max="244" width="11.21875" bestFit="1" customWidth="1"/>
    <col min="245" max="246" width="7.21875" bestFit="1" customWidth="1"/>
    <col min="247" max="629" width="8.21875" bestFit="1" customWidth="1"/>
    <col min="630" max="650" width="9.21875" bestFit="1" customWidth="1"/>
    <col min="651" max="651" width="13.88671875" bestFit="1" customWidth="1"/>
    <col min="652" max="652" width="14.77734375" bestFit="1" customWidth="1"/>
    <col min="653" max="653" width="7.21875" bestFit="1" customWidth="1"/>
    <col min="654" max="889" width="8.21875" bestFit="1" customWidth="1"/>
    <col min="890" max="892" width="9.21875" bestFit="1" customWidth="1"/>
    <col min="893" max="893" width="17.5546875" bestFit="1" customWidth="1"/>
    <col min="894" max="894" width="11.21875" bestFit="1" customWidth="1"/>
    <col min="895" max="896" width="7.21875" bestFit="1" customWidth="1"/>
    <col min="897" max="1279" width="8.21875" bestFit="1" customWidth="1"/>
    <col min="1280" max="1300" width="9.21875" bestFit="1" customWidth="1"/>
    <col min="1301" max="1301" width="13.88671875" bestFit="1" customWidth="1"/>
    <col min="1302" max="1302" width="19.6640625" bestFit="1" customWidth="1"/>
    <col min="1303" max="1303" width="18.88671875" bestFit="1" customWidth="1"/>
  </cols>
  <sheetData>
    <row r="1" spans="1:10" thickBot="1" x14ac:dyDescent="0.35">
      <c r="A1" s="26"/>
      <c r="B1" s="27"/>
      <c r="C1" s="27"/>
      <c r="D1" s="27"/>
      <c r="E1" s="27"/>
      <c r="F1" s="27"/>
      <c r="G1" s="27"/>
      <c r="H1" s="27"/>
    </row>
    <row r="2" spans="1:10" ht="31.5" customHeight="1" thickBot="1" x14ac:dyDescent="0.35">
      <c r="A2" s="113" t="s">
        <v>22</v>
      </c>
      <c r="B2" s="114"/>
      <c r="C2" s="114"/>
      <c r="D2" s="114"/>
      <c r="E2" s="114"/>
      <c r="F2" s="114"/>
      <c r="G2" s="114"/>
      <c r="H2" s="114"/>
      <c r="I2" s="114"/>
      <c r="J2" s="115"/>
    </row>
    <row r="3" spans="1:10" ht="14.4" x14ac:dyDescent="0.3">
      <c r="A3" s="26"/>
      <c r="B3" s="27"/>
      <c r="C3" s="27"/>
      <c r="D3" s="27"/>
      <c r="E3" s="27"/>
      <c r="F3" s="27"/>
      <c r="G3" s="27"/>
      <c r="H3" s="27"/>
    </row>
    <row r="4" spans="1:10" ht="15" customHeight="1" x14ac:dyDescent="0.3">
      <c r="A4" s="89"/>
      <c r="B4" s="90" t="s">
        <v>37</v>
      </c>
      <c r="C4" s="90"/>
      <c r="D4" s="90"/>
      <c r="E4" s="90"/>
      <c r="F4" s="90"/>
      <c r="G4" s="90"/>
      <c r="H4" s="90"/>
      <c r="I4" s="90"/>
      <c r="J4" s="90"/>
    </row>
    <row r="5" spans="1:10" ht="15" customHeight="1" x14ac:dyDescent="0.3">
      <c r="A5" s="89"/>
      <c r="B5" s="90" t="s">
        <v>40</v>
      </c>
      <c r="C5" s="90"/>
      <c r="D5" s="89" t="s">
        <v>32</v>
      </c>
      <c r="E5" s="89"/>
      <c r="F5" s="89" t="s">
        <v>29</v>
      </c>
      <c r="G5" s="89"/>
      <c r="H5" s="91" t="s">
        <v>46</v>
      </c>
      <c r="I5" s="91" t="s">
        <v>34</v>
      </c>
      <c r="J5" s="89" t="s">
        <v>35</v>
      </c>
    </row>
    <row r="6" spans="1:10" ht="15" customHeight="1" x14ac:dyDescent="0.3">
      <c r="A6" s="89" t="s">
        <v>36</v>
      </c>
      <c r="B6" s="89" t="s">
        <v>8</v>
      </c>
      <c r="C6" s="89" t="s">
        <v>9</v>
      </c>
      <c r="D6" s="89" t="s">
        <v>8</v>
      </c>
      <c r="E6" s="89" t="s">
        <v>9</v>
      </c>
      <c r="F6" s="89" t="s">
        <v>8</v>
      </c>
      <c r="G6" s="89" t="s">
        <v>9</v>
      </c>
      <c r="H6" s="91"/>
      <c r="I6" s="92"/>
      <c r="J6" s="89"/>
    </row>
    <row r="7" spans="1:10" ht="15" customHeight="1" x14ac:dyDescent="0.3">
      <c r="A7" s="86">
        <v>1</v>
      </c>
      <c r="B7" s="85">
        <v>4</v>
      </c>
      <c r="C7" s="85">
        <v>5</v>
      </c>
      <c r="D7" s="87">
        <v>5.0780682716666968E-3</v>
      </c>
      <c r="E7" s="87">
        <v>5.8848712342471762E-3</v>
      </c>
      <c r="F7" s="88">
        <v>201.41</v>
      </c>
      <c r="G7" s="88">
        <v>233.41</v>
      </c>
      <c r="H7" s="85">
        <v>9</v>
      </c>
      <c r="I7" s="87">
        <v>1.0962939505913871E-2</v>
      </c>
      <c r="J7" s="88">
        <v>434.82</v>
      </c>
    </row>
    <row r="8" spans="1:10" ht="15" customHeight="1" x14ac:dyDescent="0.3">
      <c r="A8" s="86">
        <v>2</v>
      </c>
      <c r="B8" s="85">
        <v>2</v>
      </c>
      <c r="C8" s="85">
        <v>10</v>
      </c>
      <c r="D8" s="87">
        <v>3.5968284575540986E-3</v>
      </c>
      <c r="E8" s="87">
        <v>1.8379223613509122E-2</v>
      </c>
      <c r="F8" s="88">
        <v>142.66</v>
      </c>
      <c r="G8" s="88">
        <v>728.97</v>
      </c>
      <c r="H8" s="85">
        <v>12</v>
      </c>
      <c r="I8" s="87">
        <v>2.1976052071063221E-2</v>
      </c>
      <c r="J8" s="88">
        <v>871.63000000000011</v>
      </c>
    </row>
    <row r="9" spans="1:10" ht="15" customHeight="1" x14ac:dyDescent="0.3">
      <c r="A9" s="86">
        <v>3</v>
      </c>
      <c r="B9" s="85">
        <v>5</v>
      </c>
      <c r="C9" s="85">
        <v>4</v>
      </c>
      <c r="D9" s="87">
        <v>9.0921651364303871E-3</v>
      </c>
      <c r="E9" s="87">
        <v>6.9367405967114765E-3</v>
      </c>
      <c r="F9" s="88">
        <v>360.62</v>
      </c>
      <c r="G9" s="88">
        <v>275.13</v>
      </c>
      <c r="H9" s="85">
        <v>9</v>
      </c>
      <c r="I9" s="87">
        <v>1.6028905733141863E-2</v>
      </c>
      <c r="J9" s="88">
        <v>635.75</v>
      </c>
    </row>
    <row r="10" spans="1:10" ht="15" customHeight="1" x14ac:dyDescent="0.3">
      <c r="A10" s="86">
        <v>4</v>
      </c>
      <c r="B10" s="85">
        <v>2</v>
      </c>
      <c r="C10" s="85">
        <v>4</v>
      </c>
      <c r="D10" s="87">
        <v>3.5005163538960539E-3</v>
      </c>
      <c r="E10" s="87">
        <v>6.8784995078501974E-3</v>
      </c>
      <c r="F10" s="88">
        <v>138.84</v>
      </c>
      <c r="G10" s="88">
        <v>272.82</v>
      </c>
      <c r="H10" s="85">
        <v>6</v>
      </c>
      <c r="I10" s="87">
        <v>1.0379015861746253E-2</v>
      </c>
      <c r="J10" s="88">
        <v>411.66</v>
      </c>
    </row>
    <row r="11" spans="1:10" ht="15" customHeight="1" x14ac:dyDescent="0.3">
      <c r="A11" s="86">
        <v>5</v>
      </c>
      <c r="B11" s="85">
        <v>3</v>
      </c>
      <c r="C11" s="85">
        <v>10</v>
      </c>
      <c r="D11" s="87">
        <v>4.1131823536056048E-3</v>
      </c>
      <c r="E11" s="87">
        <v>1.4636414244913116E-2</v>
      </c>
      <c r="F11" s="88">
        <v>163.13999999999999</v>
      </c>
      <c r="G11" s="88">
        <v>580.52</v>
      </c>
      <c r="H11" s="85">
        <v>13</v>
      </c>
      <c r="I11" s="87">
        <v>1.8749596598518724E-2</v>
      </c>
      <c r="J11" s="88">
        <v>743.66</v>
      </c>
    </row>
    <row r="12" spans="1:10" ht="15" customHeight="1" x14ac:dyDescent="0.3">
      <c r="A12" s="86">
        <v>6</v>
      </c>
      <c r="B12" s="85">
        <v>6</v>
      </c>
      <c r="C12" s="85">
        <v>4</v>
      </c>
      <c r="D12" s="87">
        <v>8.5377402255821157E-3</v>
      </c>
      <c r="E12" s="87">
        <v>6.256252722960003E-3</v>
      </c>
      <c r="F12" s="88">
        <v>338.63000000000005</v>
      </c>
      <c r="G12" s="88">
        <v>248.14000000000001</v>
      </c>
      <c r="H12" s="85">
        <v>10</v>
      </c>
      <c r="I12" s="87">
        <v>1.4793992948542119E-2</v>
      </c>
      <c r="J12" s="88">
        <v>586.77</v>
      </c>
    </row>
    <row r="13" spans="1:10" ht="15" customHeight="1" x14ac:dyDescent="0.3">
      <c r="A13" s="86">
        <v>7</v>
      </c>
      <c r="B13" s="85">
        <v>8</v>
      </c>
      <c r="C13" s="85">
        <v>8</v>
      </c>
      <c r="D13" s="87">
        <v>1.3520757023219799E-2</v>
      </c>
      <c r="E13" s="87">
        <v>8.0929900924596246E-3</v>
      </c>
      <c r="F13" s="88">
        <v>536.27</v>
      </c>
      <c r="G13" s="88">
        <v>320.99</v>
      </c>
      <c r="H13" s="85">
        <v>16</v>
      </c>
      <c r="I13" s="87">
        <v>2.1613747115679423E-2</v>
      </c>
      <c r="J13" s="88">
        <v>857.25999999999988</v>
      </c>
    </row>
    <row r="14" spans="1:10" ht="15" customHeight="1" x14ac:dyDescent="0.3">
      <c r="A14" s="86">
        <v>8</v>
      </c>
      <c r="B14" s="85">
        <v>2</v>
      </c>
      <c r="C14" s="85">
        <v>7</v>
      </c>
      <c r="D14" s="87">
        <v>3.432694479854133E-3</v>
      </c>
      <c r="E14" s="87">
        <v>9.4234586029399974E-3</v>
      </c>
      <c r="F14" s="88">
        <v>136.15</v>
      </c>
      <c r="G14" s="88">
        <v>373.76000000000005</v>
      </c>
      <c r="H14" s="85">
        <v>9</v>
      </c>
      <c r="I14" s="87">
        <v>1.285615308279413E-2</v>
      </c>
      <c r="J14" s="88">
        <v>509.91000000000008</v>
      </c>
    </row>
    <row r="15" spans="1:10" ht="15" customHeight="1" x14ac:dyDescent="0.3">
      <c r="A15" s="86">
        <v>9</v>
      </c>
      <c r="B15" s="85">
        <v>5</v>
      </c>
      <c r="C15" s="85">
        <v>11</v>
      </c>
      <c r="D15" s="87">
        <v>6.892870685621162E-3</v>
      </c>
      <c r="E15" s="87">
        <v>1.5350434866796841E-2</v>
      </c>
      <c r="F15" s="88">
        <v>273.39000000000004</v>
      </c>
      <c r="G15" s="88">
        <v>608.83999999999992</v>
      </c>
      <c r="H15" s="85">
        <v>16</v>
      </c>
      <c r="I15" s="87">
        <v>2.2243305552418005E-2</v>
      </c>
      <c r="J15" s="88">
        <v>882.23</v>
      </c>
    </row>
    <row r="16" spans="1:10" ht="15" customHeight="1" x14ac:dyDescent="0.3">
      <c r="A16" s="86">
        <v>10</v>
      </c>
      <c r="B16" s="85">
        <v>5</v>
      </c>
      <c r="C16" s="85">
        <v>10</v>
      </c>
      <c r="D16" s="87">
        <v>5.6420739676956129E-3</v>
      </c>
      <c r="E16" s="87">
        <v>1.3208625127071476E-2</v>
      </c>
      <c r="F16" s="88">
        <v>223.78</v>
      </c>
      <c r="G16" s="88">
        <v>523.89</v>
      </c>
      <c r="H16" s="85">
        <v>15</v>
      </c>
      <c r="I16" s="87">
        <v>1.8850699094767085E-2</v>
      </c>
      <c r="J16" s="88">
        <v>747.67</v>
      </c>
    </row>
    <row r="17" spans="1:10" ht="14.4" x14ac:dyDescent="0.3">
      <c r="A17" s="86">
        <v>11</v>
      </c>
      <c r="B17" s="85">
        <v>3</v>
      </c>
      <c r="C17" s="85">
        <v>2</v>
      </c>
      <c r="D17" s="87">
        <v>3.8005462056056698E-3</v>
      </c>
      <c r="E17" s="87">
        <v>2.5177294951027078E-3</v>
      </c>
      <c r="F17" s="88">
        <v>150.74</v>
      </c>
      <c r="G17" s="88">
        <v>99.86</v>
      </c>
      <c r="H17" s="85">
        <v>5</v>
      </c>
      <c r="I17" s="87">
        <v>6.3182757007083775E-3</v>
      </c>
      <c r="J17" s="88">
        <v>250.6</v>
      </c>
    </row>
    <row r="18" spans="1:10" ht="14.4" x14ac:dyDescent="0.3">
      <c r="A18" s="86">
        <v>12</v>
      </c>
      <c r="B18" s="85">
        <v>3</v>
      </c>
      <c r="C18" s="85">
        <v>5</v>
      </c>
      <c r="D18" s="87">
        <v>4.6101225533700194E-3</v>
      </c>
      <c r="E18" s="87">
        <v>6.5762005228083235E-3</v>
      </c>
      <c r="F18" s="88">
        <v>182.85000000000002</v>
      </c>
      <c r="G18" s="88">
        <v>260.83</v>
      </c>
      <c r="H18" s="85">
        <v>8</v>
      </c>
      <c r="I18" s="87">
        <v>1.1186323076178343E-2</v>
      </c>
      <c r="J18" s="88">
        <v>443.68000000000006</v>
      </c>
    </row>
    <row r="19" spans="1:10" ht="14.4" x14ac:dyDescent="0.3">
      <c r="A19" s="86">
        <v>13</v>
      </c>
      <c r="B19" s="85">
        <v>4</v>
      </c>
      <c r="C19" s="85">
        <v>7</v>
      </c>
      <c r="D19" s="87">
        <v>7.1747474706727165E-3</v>
      </c>
      <c r="E19" s="87">
        <v>7.862042744420962E-3</v>
      </c>
      <c r="F19" s="88">
        <v>284.57</v>
      </c>
      <c r="G19" s="88">
        <v>311.83</v>
      </c>
      <c r="H19" s="85">
        <v>11</v>
      </c>
      <c r="I19" s="87">
        <v>1.503679021509368E-2</v>
      </c>
      <c r="J19" s="88">
        <v>596.4</v>
      </c>
    </row>
    <row r="20" spans="1:10" ht="14.4" x14ac:dyDescent="0.3">
      <c r="A20" s="86">
        <v>14</v>
      </c>
      <c r="B20" s="85">
        <v>4</v>
      </c>
      <c r="C20" s="85">
        <v>10</v>
      </c>
      <c r="D20" s="87">
        <v>6.9027035967276114E-3</v>
      </c>
      <c r="E20" s="87">
        <v>1.5433888548238758E-2</v>
      </c>
      <c r="F20" s="88">
        <v>273.77999999999997</v>
      </c>
      <c r="G20" s="88">
        <v>612.15</v>
      </c>
      <c r="H20" s="85">
        <v>14</v>
      </c>
      <c r="I20" s="87">
        <v>2.2336592144966375E-2</v>
      </c>
      <c r="J20" s="88">
        <v>885.93000000000006</v>
      </c>
    </row>
    <row r="21" spans="1:10" ht="14.4" x14ac:dyDescent="0.3">
      <c r="A21" s="86">
        <v>15</v>
      </c>
      <c r="B21" s="85">
        <v>3</v>
      </c>
      <c r="C21" s="85">
        <v>13</v>
      </c>
      <c r="D21" s="87">
        <v>4.8070329014248177E-3</v>
      </c>
      <c r="E21" s="87">
        <v>2.1993953011795478E-2</v>
      </c>
      <c r="F21" s="88">
        <v>190.66</v>
      </c>
      <c r="G21" s="88">
        <v>872.34</v>
      </c>
      <c r="H21" s="85">
        <v>16</v>
      </c>
      <c r="I21" s="87">
        <v>2.6800985913220294E-2</v>
      </c>
      <c r="J21" s="88">
        <v>1063</v>
      </c>
    </row>
    <row r="22" spans="1:10" ht="14.4" x14ac:dyDescent="0.3">
      <c r="A22" s="86">
        <v>16</v>
      </c>
      <c r="B22" s="85">
        <v>6</v>
      </c>
      <c r="C22" s="85">
        <v>8</v>
      </c>
      <c r="D22" s="87">
        <v>9.5343940102948117E-3</v>
      </c>
      <c r="E22" s="87">
        <v>1.4847191518887267E-2</v>
      </c>
      <c r="F22" s="88">
        <v>378.16</v>
      </c>
      <c r="G22" s="88">
        <v>588.88</v>
      </c>
      <c r="H22" s="85">
        <v>14</v>
      </c>
      <c r="I22" s="87">
        <v>2.4381585529182077E-2</v>
      </c>
      <c r="J22" s="88">
        <v>967.04000000000008</v>
      </c>
    </row>
    <row r="23" spans="1:10" ht="14.4" x14ac:dyDescent="0.3">
      <c r="A23" s="86">
        <v>17</v>
      </c>
      <c r="B23" s="85">
        <v>3</v>
      </c>
      <c r="C23" s="85">
        <v>13</v>
      </c>
      <c r="D23" s="87">
        <v>3.1669537540541868E-3</v>
      </c>
      <c r="E23" s="87">
        <v>1.9747763138786258E-2</v>
      </c>
      <c r="F23" s="88">
        <v>125.60999999999999</v>
      </c>
      <c r="G23" s="88">
        <v>783.24999999999989</v>
      </c>
      <c r="H23" s="85">
        <v>16</v>
      </c>
      <c r="I23" s="87">
        <v>2.2914716892840446E-2</v>
      </c>
      <c r="J23" s="88">
        <v>908.8599999999999</v>
      </c>
    </row>
    <row r="24" spans="1:10" ht="14.4" x14ac:dyDescent="0.3">
      <c r="A24" s="86">
        <v>18</v>
      </c>
      <c r="B24" s="85">
        <v>8</v>
      </c>
      <c r="C24" s="85">
        <v>7</v>
      </c>
      <c r="D24" s="87">
        <v>1.3392677052910147E-2</v>
      </c>
      <c r="E24" s="87">
        <v>1.2179194972003945E-2</v>
      </c>
      <c r="F24" s="88">
        <v>531.19000000000005</v>
      </c>
      <c r="G24" s="88">
        <v>483.06</v>
      </c>
      <c r="H24" s="85">
        <v>15</v>
      </c>
      <c r="I24" s="87">
        <v>2.5571872024914091E-2</v>
      </c>
      <c r="J24" s="88">
        <v>1014.25</v>
      </c>
    </row>
    <row r="25" spans="1:10" ht="14.4" x14ac:dyDescent="0.3">
      <c r="A25" s="86">
        <v>19</v>
      </c>
      <c r="B25" s="85">
        <v>3</v>
      </c>
      <c r="C25" s="85">
        <v>11</v>
      </c>
      <c r="D25" s="87">
        <v>4.2821067238958928E-3</v>
      </c>
      <c r="E25" s="87">
        <v>1.3392677052910145E-2</v>
      </c>
      <c r="F25" s="88">
        <v>169.84</v>
      </c>
      <c r="G25" s="88">
        <v>531.19000000000005</v>
      </c>
      <c r="H25" s="85">
        <v>14</v>
      </c>
      <c r="I25" s="87">
        <v>1.7674783776806036E-2</v>
      </c>
      <c r="J25" s="88">
        <v>701.02999999999986</v>
      </c>
    </row>
    <row r="26" spans="1:10" ht="14.4" x14ac:dyDescent="0.3">
      <c r="A26" s="86">
        <v>20</v>
      </c>
      <c r="B26" s="85">
        <v>6</v>
      </c>
      <c r="C26" s="85">
        <v>12</v>
      </c>
      <c r="D26" s="87">
        <v>9.2984041437400231E-3</v>
      </c>
      <c r="E26" s="87">
        <v>1.9644391509205633E-2</v>
      </c>
      <c r="F26" s="88">
        <v>368.79999999999995</v>
      </c>
      <c r="G26" s="88">
        <v>779.14999999999986</v>
      </c>
      <c r="H26" s="85">
        <v>18</v>
      </c>
      <c r="I26" s="87">
        <v>2.8942795652945656E-2</v>
      </c>
      <c r="J26" s="88">
        <v>1147.9499999999998</v>
      </c>
    </row>
    <row r="27" spans="1:10" ht="14.4" x14ac:dyDescent="0.3">
      <c r="A27" s="86">
        <v>21</v>
      </c>
      <c r="B27" s="85"/>
      <c r="C27" s="85">
        <v>10</v>
      </c>
      <c r="D27" s="87"/>
      <c r="E27" s="87">
        <v>1.4462699482032507E-2</v>
      </c>
      <c r="F27" s="88"/>
      <c r="G27" s="88">
        <v>573.63</v>
      </c>
      <c r="H27" s="85">
        <v>10</v>
      </c>
      <c r="I27" s="87">
        <v>1.4462699482032507E-2</v>
      </c>
      <c r="J27" s="88">
        <v>573.63</v>
      </c>
    </row>
    <row r="28" spans="1:10" ht="14.4" x14ac:dyDescent="0.3">
      <c r="A28" s="86">
        <v>22</v>
      </c>
      <c r="B28" s="85">
        <v>5</v>
      </c>
      <c r="C28" s="85">
        <v>10</v>
      </c>
      <c r="D28" s="87">
        <v>7.3461931002210702E-3</v>
      </c>
      <c r="E28" s="87">
        <v>1.8741276442967109E-2</v>
      </c>
      <c r="F28" s="88">
        <v>291.37</v>
      </c>
      <c r="G28" s="88">
        <v>743.33</v>
      </c>
      <c r="H28" s="85">
        <v>15</v>
      </c>
      <c r="I28" s="87">
        <v>2.6087469543188177E-2</v>
      </c>
      <c r="J28" s="88">
        <v>1034.7</v>
      </c>
    </row>
    <row r="29" spans="1:10" ht="14.4" x14ac:dyDescent="0.3">
      <c r="A29" s="86">
        <v>23</v>
      </c>
      <c r="B29" s="85">
        <v>8</v>
      </c>
      <c r="C29" s="85">
        <v>7</v>
      </c>
      <c r="D29" s="87">
        <v>1.0560042276475248E-2</v>
      </c>
      <c r="E29" s="87">
        <v>1.0470789698739782E-2</v>
      </c>
      <c r="F29" s="88">
        <v>418.84000000000003</v>
      </c>
      <c r="G29" s="88">
        <v>415.29999999999995</v>
      </c>
      <c r="H29" s="85">
        <v>15</v>
      </c>
      <c r="I29" s="87">
        <v>2.103083197521503E-2</v>
      </c>
      <c r="J29" s="88">
        <v>834.1400000000001</v>
      </c>
    </row>
    <row r="30" spans="1:10" ht="14.4" x14ac:dyDescent="0.3">
      <c r="A30" s="86">
        <v>24</v>
      </c>
      <c r="B30" s="85">
        <v>10</v>
      </c>
      <c r="C30" s="85">
        <v>14</v>
      </c>
      <c r="D30" s="87">
        <v>1.5927046859116077E-2</v>
      </c>
      <c r="E30" s="87">
        <v>2.215228809320189E-2</v>
      </c>
      <c r="F30" s="88">
        <v>631.71</v>
      </c>
      <c r="G30" s="88">
        <v>878.62000000000012</v>
      </c>
      <c r="H30" s="85">
        <v>24</v>
      </c>
      <c r="I30" s="87">
        <v>3.8079334952317967E-2</v>
      </c>
      <c r="J30" s="88">
        <v>1510.3300000000002</v>
      </c>
    </row>
    <row r="31" spans="1:10" ht="14.4" x14ac:dyDescent="0.3">
      <c r="A31" s="86">
        <v>25</v>
      </c>
      <c r="B31" s="85">
        <v>5</v>
      </c>
      <c r="C31" s="85">
        <v>18</v>
      </c>
      <c r="D31" s="87">
        <v>9.2968913881851852E-3</v>
      </c>
      <c r="E31" s="87">
        <v>2.5928882335855951E-2</v>
      </c>
      <c r="F31" s="88">
        <v>368.73999999999995</v>
      </c>
      <c r="G31" s="88">
        <v>1028.4100000000001</v>
      </c>
      <c r="H31" s="85">
        <v>23</v>
      </c>
      <c r="I31" s="87">
        <v>3.5225773724041134E-2</v>
      </c>
      <c r="J31" s="88">
        <v>1397.15</v>
      </c>
    </row>
    <row r="32" spans="1:10" ht="14.4" x14ac:dyDescent="0.3">
      <c r="A32" s="86">
        <v>26</v>
      </c>
      <c r="B32" s="85">
        <v>10</v>
      </c>
      <c r="C32" s="85">
        <v>11</v>
      </c>
      <c r="D32" s="87">
        <v>1.5619453229632268E-2</v>
      </c>
      <c r="E32" s="87">
        <v>1.8133905087699496E-2</v>
      </c>
      <c r="F32" s="88">
        <v>619.50999999999988</v>
      </c>
      <c r="G32" s="88">
        <v>719.2399999999999</v>
      </c>
      <c r="H32" s="85">
        <v>21</v>
      </c>
      <c r="I32" s="87">
        <v>3.3753358317331762E-2</v>
      </c>
      <c r="J32" s="88">
        <v>1338.75</v>
      </c>
    </row>
    <row r="33" spans="1:10" ht="14.4" x14ac:dyDescent="0.3">
      <c r="A33" s="86">
        <v>27</v>
      </c>
      <c r="B33" s="85">
        <v>7</v>
      </c>
      <c r="C33" s="85">
        <v>10</v>
      </c>
      <c r="D33" s="87">
        <v>9.1925112549013331E-3</v>
      </c>
      <c r="E33" s="87">
        <v>1.4394625482064782E-2</v>
      </c>
      <c r="F33" s="88">
        <v>364.6</v>
      </c>
      <c r="G33" s="88">
        <v>570.93000000000006</v>
      </c>
      <c r="H33" s="85">
        <v>17</v>
      </c>
      <c r="I33" s="87">
        <v>2.3587136736966115E-2</v>
      </c>
      <c r="J33" s="88">
        <v>935.53</v>
      </c>
    </row>
    <row r="34" spans="1:10" ht="14.4" x14ac:dyDescent="0.3">
      <c r="A34" s="86">
        <v>28</v>
      </c>
      <c r="B34" s="85">
        <v>9</v>
      </c>
      <c r="C34" s="85">
        <v>8</v>
      </c>
      <c r="D34" s="87">
        <v>1.372371839349395E-2</v>
      </c>
      <c r="E34" s="87">
        <v>1.212776128313944E-2</v>
      </c>
      <c r="F34" s="88">
        <v>544.31999999999994</v>
      </c>
      <c r="G34" s="88">
        <v>481.02</v>
      </c>
      <c r="H34" s="85">
        <v>17</v>
      </c>
      <c r="I34" s="87">
        <v>2.5851479676633395E-2</v>
      </c>
      <c r="J34" s="88">
        <v>1025.3399999999999</v>
      </c>
    </row>
    <row r="35" spans="1:10" ht="14.4" x14ac:dyDescent="0.3">
      <c r="A35" s="86">
        <v>29</v>
      </c>
      <c r="B35" s="85">
        <v>5</v>
      </c>
      <c r="C35" s="85">
        <v>11</v>
      </c>
      <c r="D35" s="87">
        <v>6.4725767673018937E-3</v>
      </c>
      <c r="E35" s="87">
        <v>1.3655644393526222E-2</v>
      </c>
      <c r="F35" s="88">
        <v>256.72000000000003</v>
      </c>
      <c r="G35" s="88">
        <v>541.62</v>
      </c>
      <c r="H35" s="85">
        <v>16</v>
      </c>
      <c r="I35" s="87">
        <v>2.0128221160828116E-2</v>
      </c>
      <c r="J35" s="88">
        <v>798.33999999999992</v>
      </c>
    </row>
    <row r="36" spans="1:10" ht="14.4" x14ac:dyDescent="0.3">
      <c r="A36" s="86">
        <v>30</v>
      </c>
      <c r="B36" s="85">
        <v>8</v>
      </c>
      <c r="C36" s="85">
        <v>10</v>
      </c>
      <c r="D36" s="87">
        <v>1.2137089942394277E-2</v>
      </c>
      <c r="E36" s="87">
        <v>1.309365570490376E-2</v>
      </c>
      <c r="F36" s="88">
        <v>481.39</v>
      </c>
      <c r="G36" s="88">
        <v>519.33000000000004</v>
      </c>
      <c r="H36" s="85">
        <v>18</v>
      </c>
      <c r="I36" s="87">
        <v>2.5230745647298037E-2</v>
      </c>
      <c r="J36" s="88">
        <v>1000.7200000000003</v>
      </c>
    </row>
    <row r="37" spans="1:10" ht="14.4" x14ac:dyDescent="0.3">
      <c r="A37" s="86">
        <v>31</v>
      </c>
      <c r="B37" s="85">
        <v>11</v>
      </c>
      <c r="C37" s="85">
        <v>8</v>
      </c>
      <c r="D37" s="87">
        <v>1.4874421118874361E-2</v>
      </c>
      <c r="E37" s="87">
        <v>1.3242914252981146E-2</v>
      </c>
      <c r="F37" s="88">
        <v>589.95999999999992</v>
      </c>
      <c r="G37" s="88">
        <v>525.25</v>
      </c>
      <c r="H37" s="85">
        <v>19</v>
      </c>
      <c r="I37" s="87">
        <v>2.8117335371855505E-2</v>
      </c>
      <c r="J37" s="88">
        <v>1115.21</v>
      </c>
    </row>
    <row r="38" spans="1:10" ht="14.4" x14ac:dyDescent="0.3">
      <c r="A38" s="86">
        <v>32</v>
      </c>
      <c r="B38" s="85"/>
      <c r="C38" s="85">
        <v>11</v>
      </c>
      <c r="D38" s="87"/>
      <c r="E38" s="87">
        <v>1.8730687154083242E-2</v>
      </c>
      <c r="F38" s="88"/>
      <c r="G38" s="88">
        <v>742.91</v>
      </c>
      <c r="H38" s="85">
        <v>11</v>
      </c>
      <c r="I38" s="87">
        <v>1.8730687154083242E-2</v>
      </c>
      <c r="J38" s="88">
        <v>742.91</v>
      </c>
    </row>
    <row r="39" spans="1:10" ht="14.4" x14ac:dyDescent="0.3">
      <c r="A39" s="86">
        <v>33</v>
      </c>
      <c r="B39" s="85">
        <v>4</v>
      </c>
      <c r="C39" s="85">
        <v>4</v>
      </c>
      <c r="D39" s="87">
        <v>6.2080966711309804E-3</v>
      </c>
      <c r="E39" s="87">
        <v>7.6689142852532609E-3</v>
      </c>
      <c r="F39" s="88">
        <v>246.23</v>
      </c>
      <c r="G39" s="88">
        <v>304.17</v>
      </c>
      <c r="H39" s="85">
        <v>8</v>
      </c>
      <c r="I39" s="87">
        <v>1.3877010956384241E-2</v>
      </c>
      <c r="J39" s="88">
        <v>550.4</v>
      </c>
    </row>
    <row r="40" spans="1:10" ht="14.4" x14ac:dyDescent="0.3">
      <c r="A40" s="86">
        <v>34</v>
      </c>
      <c r="B40" s="85">
        <v>8</v>
      </c>
      <c r="C40" s="85">
        <v>6</v>
      </c>
      <c r="D40" s="87">
        <v>1.1695365320381465E-2</v>
      </c>
      <c r="E40" s="87">
        <v>7.5423470704984496E-3</v>
      </c>
      <c r="F40" s="88">
        <v>463.87</v>
      </c>
      <c r="G40" s="88">
        <v>299.14999999999998</v>
      </c>
      <c r="H40" s="85">
        <v>14</v>
      </c>
      <c r="I40" s="87">
        <v>1.9237712390879909E-2</v>
      </c>
      <c r="J40" s="88">
        <v>763.02</v>
      </c>
    </row>
    <row r="41" spans="1:10" ht="14.4" x14ac:dyDescent="0.3">
      <c r="A41" s="86">
        <v>35</v>
      </c>
      <c r="B41" s="85">
        <v>7</v>
      </c>
      <c r="C41" s="85">
        <v>9</v>
      </c>
      <c r="D41" s="87">
        <v>1.2161041905345884E-2</v>
      </c>
      <c r="E41" s="87">
        <v>1.6127486970132165E-2</v>
      </c>
      <c r="F41" s="88">
        <v>482.34000000000003</v>
      </c>
      <c r="G41" s="88">
        <v>639.66000000000008</v>
      </c>
      <c r="H41" s="85">
        <v>16</v>
      </c>
      <c r="I41" s="87">
        <v>2.8288528875478045E-2</v>
      </c>
      <c r="J41" s="88">
        <v>1122</v>
      </c>
    </row>
    <row r="42" spans="1:10" ht="14.4" x14ac:dyDescent="0.3">
      <c r="A42" s="86">
        <v>36</v>
      </c>
      <c r="B42" s="85">
        <v>8</v>
      </c>
      <c r="C42" s="85">
        <v>11</v>
      </c>
      <c r="D42" s="87">
        <v>1.2748495312474796E-2</v>
      </c>
      <c r="E42" s="87">
        <v>1.8385274635728477E-2</v>
      </c>
      <c r="F42" s="88">
        <v>505.64</v>
      </c>
      <c r="G42" s="88">
        <v>729.21</v>
      </c>
      <c r="H42" s="85">
        <v>19</v>
      </c>
      <c r="I42" s="87">
        <v>3.1133769948203271E-2</v>
      </c>
      <c r="J42" s="88">
        <v>1234.8499999999999</v>
      </c>
    </row>
    <row r="43" spans="1:10" ht="14.4" x14ac:dyDescent="0.3">
      <c r="A43" s="86">
        <v>37</v>
      </c>
      <c r="B43" s="85">
        <v>2</v>
      </c>
      <c r="C43" s="85">
        <v>6</v>
      </c>
      <c r="D43" s="87">
        <v>2.8417113097639318E-3</v>
      </c>
      <c r="E43" s="87">
        <v>8.5435391218756616E-3</v>
      </c>
      <c r="F43" s="88">
        <v>112.71000000000001</v>
      </c>
      <c r="G43" s="88">
        <v>338.86</v>
      </c>
      <c r="H43" s="85">
        <v>8</v>
      </c>
      <c r="I43" s="87">
        <v>1.1385250431639592E-2</v>
      </c>
      <c r="J43" s="88">
        <v>451.56999999999994</v>
      </c>
    </row>
    <row r="44" spans="1:10" ht="14.4" x14ac:dyDescent="0.3">
      <c r="A44" s="86">
        <v>38</v>
      </c>
      <c r="B44" s="85">
        <v>10</v>
      </c>
      <c r="C44" s="85">
        <v>9</v>
      </c>
      <c r="D44" s="87">
        <v>1.4339914156164792E-2</v>
      </c>
      <c r="E44" s="87">
        <v>1.3268126845561785E-2</v>
      </c>
      <c r="F44" s="88">
        <v>568.76</v>
      </c>
      <c r="G44" s="88">
        <v>526.25</v>
      </c>
      <c r="H44" s="85">
        <v>19</v>
      </c>
      <c r="I44" s="87">
        <v>2.7608041001726581E-2</v>
      </c>
      <c r="J44" s="88">
        <v>1095.01</v>
      </c>
    </row>
    <row r="45" spans="1:10" ht="14.4" x14ac:dyDescent="0.3">
      <c r="A45" s="86">
        <v>39</v>
      </c>
      <c r="B45" s="85">
        <v>4</v>
      </c>
      <c r="C45" s="85">
        <v>5</v>
      </c>
      <c r="D45" s="87">
        <v>5.827638649089124E-3</v>
      </c>
      <c r="E45" s="87">
        <v>7.8610342407177385E-3</v>
      </c>
      <c r="F45" s="88">
        <v>231.14</v>
      </c>
      <c r="G45" s="88">
        <v>311.79000000000002</v>
      </c>
      <c r="H45" s="85">
        <v>9</v>
      </c>
      <c r="I45" s="87">
        <v>1.3688672889806863E-2</v>
      </c>
      <c r="J45" s="88">
        <v>542.92999999999995</v>
      </c>
    </row>
    <row r="46" spans="1:10" ht="14.4" x14ac:dyDescent="0.3">
      <c r="A46" s="86">
        <v>40</v>
      </c>
      <c r="B46" s="85">
        <v>2</v>
      </c>
      <c r="C46" s="85">
        <v>6</v>
      </c>
      <c r="D46" s="87">
        <v>2.2219857841318008E-3</v>
      </c>
      <c r="E46" s="87">
        <v>1.0940248172591297E-2</v>
      </c>
      <c r="F46" s="88">
        <v>88.13</v>
      </c>
      <c r="G46" s="88">
        <v>433.92</v>
      </c>
      <c r="H46" s="85">
        <v>8</v>
      </c>
      <c r="I46" s="87">
        <v>1.3162233956723099E-2</v>
      </c>
      <c r="J46" s="88">
        <v>522.04999999999995</v>
      </c>
    </row>
    <row r="47" spans="1:10" ht="14.4" x14ac:dyDescent="0.3">
      <c r="A47" s="86">
        <v>41</v>
      </c>
      <c r="B47" s="85">
        <v>4</v>
      </c>
      <c r="C47" s="85">
        <v>7</v>
      </c>
      <c r="D47" s="87">
        <v>5.9811833379052205E-3</v>
      </c>
      <c r="E47" s="87">
        <v>1.3810197586045545E-2</v>
      </c>
      <c r="F47" s="88">
        <v>237.23000000000002</v>
      </c>
      <c r="G47" s="88">
        <v>547.75</v>
      </c>
      <c r="H47" s="85">
        <v>11</v>
      </c>
      <c r="I47" s="87">
        <v>1.9791380923950767E-2</v>
      </c>
      <c r="J47" s="88">
        <v>784.98000000000013</v>
      </c>
    </row>
    <row r="48" spans="1:10" ht="14.4" x14ac:dyDescent="0.3">
      <c r="A48" s="86">
        <v>42</v>
      </c>
      <c r="B48" s="85">
        <v>3</v>
      </c>
      <c r="C48" s="85">
        <v>7</v>
      </c>
      <c r="D48" s="87">
        <v>5.3276729382150329E-3</v>
      </c>
      <c r="E48" s="87">
        <v>1.0367670195084963E-2</v>
      </c>
      <c r="F48" s="88">
        <v>211.31</v>
      </c>
      <c r="G48" s="88">
        <v>411.21000000000004</v>
      </c>
      <c r="H48" s="85">
        <v>10</v>
      </c>
      <c r="I48" s="87">
        <v>1.5695343133299997E-2</v>
      </c>
      <c r="J48" s="88">
        <v>622.52</v>
      </c>
    </row>
    <row r="49" spans="1:10" ht="14.4" x14ac:dyDescent="0.3">
      <c r="A49" s="86">
        <v>43</v>
      </c>
      <c r="B49" s="85">
        <v>5</v>
      </c>
      <c r="C49" s="85">
        <v>5</v>
      </c>
      <c r="D49" s="87">
        <v>6.5424156487502673E-3</v>
      </c>
      <c r="E49" s="87">
        <v>5.7983920416955813E-3</v>
      </c>
      <c r="F49" s="88">
        <v>259.49</v>
      </c>
      <c r="G49" s="88">
        <v>229.98</v>
      </c>
      <c r="H49" s="85">
        <v>10</v>
      </c>
      <c r="I49" s="87">
        <v>1.2340807690445847E-2</v>
      </c>
      <c r="J49" s="88">
        <v>489.46999999999991</v>
      </c>
    </row>
    <row r="50" spans="1:10" ht="14.4" x14ac:dyDescent="0.3">
      <c r="A50" s="86">
        <v>44</v>
      </c>
      <c r="B50" s="85">
        <v>2</v>
      </c>
      <c r="C50" s="85">
        <v>4</v>
      </c>
      <c r="D50" s="87">
        <v>4.3761496942216795E-3</v>
      </c>
      <c r="E50" s="87">
        <v>7.4019129298242819E-3</v>
      </c>
      <c r="F50" s="88">
        <v>173.57</v>
      </c>
      <c r="G50" s="88">
        <v>293.58</v>
      </c>
      <c r="H50" s="85">
        <v>6</v>
      </c>
      <c r="I50" s="87">
        <v>1.1778062624045961E-2</v>
      </c>
      <c r="J50" s="88">
        <v>467.15000000000003</v>
      </c>
    </row>
    <row r="51" spans="1:10" ht="14.4" x14ac:dyDescent="0.3">
      <c r="A51" s="86">
        <v>45</v>
      </c>
      <c r="B51" s="85">
        <v>2</v>
      </c>
      <c r="C51" s="85">
        <v>2</v>
      </c>
      <c r="D51" s="87">
        <v>2.9791199393284194E-3</v>
      </c>
      <c r="E51" s="87">
        <v>3.345963161376731E-3</v>
      </c>
      <c r="F51" s="88">
        <v>118.16</v>
      </c>
      <c r="G51" s="88">
        <v>132.71</v>
      </c>
      <c r="H51" s="85">
        <v>4</v>
      </c>
      <c r="I51" s="87">
        <v>6.3250831007051504E-3</v>
      </c>
      <c r="J51" s="88">
        <v>250.87</v>
      </c>
    </row>
    <row r="52" spans="1:10" ht="14.4" x14ac:dyDescent="0.3">
      <c r="A52" s="86">
        <v>46</v>
      </c>
      <c r="B52" s="85">
        <v>2</v>
      </c>
      <c r="C52" s="85">
        <v>5</v>
      </c>
      <c r="D52" s="87">
        <v>3.5822051538573277E-3</v>
      </c>
      <c r="E52" s="87">
        <v>9.7471882916754134E-3</v>
      </c>
      <c r="F52" s="88">
        <v>142.07999999999998</v>
      </c>
      <c r="G52" s="88">
        <v>386.6</v>
      </c>
      <c r="H52" s="85">
        <v>7</v>
      </c>
      <c r="I52" s="87">
        <v>1.3329393445532741E-2</v>
      </c>
      <c r="J52" s="88">
        <v>528.67999999999995</v>
      </c>
    </row>
    <row r="53" spans="1:10" ht="14.4" x14ac:dyDescent="0.3">
      <c r="A53" s="86">
        <v>47</v>
      </c>
      <c r="B53" s="85">
        <v>5</v>
      </c>
      <c r="C53" s="85">
        <v>2</v>
      </c>
      <c r="D53" s="87">
        <v>7.1785293595598137E-3</v>
      </c>
      <c r="E53" s="87">
        <v>2.3951962951607973E-3</v>
      </c>
      <c r="F53" s="88">
        <v>284.71999999999997</v>
      </c>
      <c r="G53" s="88">
        <v>95</v>
      </c>
      <c r="H53" s="85">
        <v>7</v>
      </c>
      <c r="I53" s="87">
        <v>9.573725654720611E-3</v>
      </c>
      <c r="J53" s="88">
        <v>379.71999999999997</v>
      </c>
    </row>
    <row r="54" spans="1:10" ht="14.4" x14ac:dyDescent="0.3">
      <c r="A54" s="86">
        <v>48</v>
      </c>
      <c r="B54" s="85">
        <v>2</v>
      </c>
      <c r="C54" s="85">
        <v>7</v>
      </c>
      <c r="D54" s="87">
        <v>3.5950635760734536E-3</v>
      </c>
      <c r="E54" s="87">
        <v>8.8849176254175277E-3</v>
      </c>
      <c r="F54" s="88">
        <v>142.58999999999997</v>
      </c>
      <c r="G54" s="88">
        <v>352.4</v>
      </c>
      <c r="H54" s="85">
        <v>9</v>
      </c>
      <c r="I54" s="87">
        <v>1.2479981201490981E-2</v>
      </c>
      <c r="J54" s="88">
        <v>494.98999999999995</v>
      </c>
    </row>
    <row r="55" spans="1:10" ht="14.4" x14ac:dyDescent="0.3">
      <c r="A55" s="86">
        <v>49</v>
      </c>
      <c r="B55" s="85">
        <v>1</v>
      </c>
      <c r="C55" s="85">
        <v>4</v>
      </c>
      <c r="D55" s="87">
        <v>1.497375873364208E-3</v>
      </c>
      <c r="E55" s="87">
        <v>5.2250576864118284E-3</v>
      </c>
      <c r="F55" s="88">
        <v>59.39</v>
      </c>
      <c r="G55" s="88">
        <v>207.24</v>
      </c>
      <c r="H55" s="85">
        <v>5</v>
      </c>
      <c r="I55" s="87">
        <v>6.7224335597760362E-3</v>
      </c>
      <c r="J55" s="88">
        <v>266.63</v>
      </c>
    </row>
    <row r="56" spans="1:10" ht="14.4" x14ac:dyDescent="0.3">
      <c r="A56" s="86">
        <v>50</v>
      </c>
      <c r="B56" s="85"/>
      <c r="C56" s="85">
        <v>5</v>
      </c>
      <c r="D56" s="87"/>
      <c r="E56" s="87">
        <v>6.4150920562180344E-3</v>
      </c>
      <c r="F56" s="88"/>
      <c r="G56" s="88">
        <v>254.43999999999997</v>
      </c>
      <c r="H56" s="85">
        <v>5</v>
      </c>
      <c r="I56" s="87">
        <v>6.4150920562180344E-3</v>
      </c>
      <c r="J56" s="88">
        <v>254.43999999999997</v>
      </c>
    </row>
    <row r="57" spans="1:10" ht="14.4" x14ac:dyDescent="0.3">
      <c r="A57" s="86">
        <v>51</v>
      </c>
      <c r="B57" s="85">
        <v>2</v>
      </c>
      <c r="C57" s="85">
        <v>6</v>
      </c>
      <c r="D57" s="87">
        <v>3.0149218207929282E-3</v>
      </c>
      <c r="E57" s="87">
        <v>9.8863618027205478E-3</v>
      </c>
      <c r="F57" s="88">
        <v>119.58000000000001</v>
      </c>
      <c r="G57" s="88">
        <v>392.12</v>
      </c>
      <c r="H57" s="85">
        <v>8</v>
      </c>
      <c r="I57" s="87">
        <v>1.2901283623513476E-2</v>
      </c>
      <c r="J57" s="88">
        <v>511.70000000000005</v>
      </c>
    </row>
    <row r="58" spans="1:10" ht="14.4" x14ac:dyDescent="0.3">
      <c r="A58" s="86">
        <v>52</v>
      </c>
      <c r="B58" s="85">
        <v>1</v>
      </c>
      <c r="C58" s="85">
        <v>3</v>
      </c>
      <c r="D58" s="87">
        <v>1.3982903845222931E-3</v>
      </c>
      <c r="E58" s="87">
        <v>2.8470059542058655E-3</v>
      </c>
      <c r="F58" s="88">
        <v>55.46</v>
      </c>
      <c r="G58" s="88">
        <v>112.91999999999999</v>
      </c>
      <c r="H58" s="85">
        <v>4</v>
      </c>
      <c r="I58" s="87">
        <v>4.2452963387281592E-3</v>
      </c>
      <c r="J58" s="88">
        <v>168.38</v>
      </c>
    </row>
    <row r="59" spans="1:10" ht="14.4" x14ac:dyDescent="0.3">
      <c r="A59" s="86">
        <v>53</v>
      </c>
      <c r="B59" s="85">
        <v>1</v>
      </c>
      <c r="C59" s="85">
        <v>1</v>
      </c>
      <c r="D59" s="87">
        <v>1.7802611621189886E-3</v>
      </c>
      <c r="E59" s="87">
        <v>2.5202507543607717E-3</v>
      </c>
      <c r="F59" s="88">
        <v>70.61</v>
      </c>
      <c r="G59" s="88">
        <v>99.96</v>
      </c>
      <c r="H59" s="85">
        <v>2</v>
      </c>
      <c r="I59" s="87">
        <v>4.3005119164797601E-3</v>
      </c>
      <c r="J59" s="88">
        <v>170.57</v>
      </c>
    </row>
    <row r="60" spans="1:10" ht="14.4" x14ac:dyDescent="0.3">
      <c r="A60" s="86">
        <v>54</v>
      </c>
      <c r="B60" s="85">
        <v>2</v>
      </c>
      <c r="C60" s="85">
        <v>1</v>
      </c>
      <c r="D60" s="87">
        <v>2.1660138286027806E-3</v>
      </c>
      <c r="E60" s="87">
        <v>1.6910085843835228E-3</v>
      </c>
      <c r="F60" s="88">
        <v>85.91</v>
      </c>
      <c r="G60" s="88">
        <v>67.069999999999993</v>
      </c>
      <c r="H60" s="85">
        <v>3</v>
      </c>
      <c r="I60" s="87">
        <v>3.8570224129863035E-3</v>
      </c>
      <c r="J60" s="88">
        <v>152.97999999999999</v>
      </c>
    </row>
    <row r="61" spans="1:10" ht="14.4" x14ac:dyDescent="0.3">
      <c r="A61" s="86">
        <v>55</v>
      </c>
      <c r="B61" s="85"/>
      <c r="C61" s="85">
        <v>1</v>
      </c>
      <c r="D61" s="87"/>
      <c r="E61" s="87">
        <v>1.8349724880189773E-3</v>
      </c>
      <c r="F61" s="88"/>
      <c r="G61" s="88">
        <v>72.78</v>
      </c>
      <c r="H61" s="85">
        <v>1</v>
      </c>
      <c r="I61" s="87">
        <v>1.8349724880189773E-3</v>
      </c>
      <c r="J61" s="88">
        <v>72.78</v>
      </c>
    </row>
    <row r="62" spans="1:10" ht="14.4" x14ac:dyDescent="0.3">
      <c r="A62" s="86">
        <v>56</v>
      </c>
      <c r="B62" s="85"/>
      <c r="C62" s="85">
        <v>1</v>
      </c>
      <c r="D62" s="87"/>
      <c r="E62" s="87">
        <v>1.6897479547544909E-3</v>
      </c>
      <c r="F62" s="88"/>
      <c r="G62" s="88">
        <v>67.02</v>
      </c>
      <c r="H62" s="85">
        <v>1</v>
      </c>
      <c r="I62" s="87">
        <v>1.6897479547544909E-3</v>
      </c>
      <c r="J62" s="88">
        <v>67.02</v>
      </c>
    </row>
    <row r="63" spans="1:10" ht="14.4" x14ac:dyDescent="0.3">
      <c r="A63" s="86">
        <v>57</v>
      </c>
      <c r="B63" s="85"/>
      <c r="C63" s="85">
        <v>4</v>
      </c>
      <c r="D63" s="87"/>
      <c r="E63" s="87">
        <v>4.9494840495054333E-3</v>
      </c>
      <c r="F63" s="88"/>
      <c r="G63" s="88">
        <v>196.31</v>
      </c>
      <c r="H63" s="85">
        <v>4</v>
      </c>
      <c r="I63" s="87">
        <v>4.9494840495054333E-3</v>
      </c>
      <c r="J63" s="88">
        <v>196.31</v>
      </c>
    </row>
    <row r="64" spans="1:10" ht="14.4" x14ac:dyDescent="0.3">
      <c r="A64" s="86">
        <v>58</v>
      </c>
      <c r="B64" s="85">
        <v>1</v>
      </c>
      <c r="C64" s="85"/>
      <c r="D64" s="87">
        <v>1.3413099252900468E-3</v>
      </c>
      <c r="E64" s="87"/>
      <c r="F64" s="88">
        <v>53.2</v>
      </c>
      <c r="G64" s="88"/>
      <c r="H64" s="85">
        <v>1</v>
      </c>
      <c r="I64" s="87">
        <v>1.3413099252900468E-3</v>
      </c>
      <c r="J64" s="88">
        <v>53.2</v>
      </c>
    </row>
    <row r="65" spans="1:10" ht="15.75" customHeight="1" x14ac:dyDescent="0.3">
      <c r="A65" s="86">
        <v>59</v>
      </c>
      <c r="B65" s="85">
        <v>1</v>
      </c>
      <c r="C65" s="85"/>
      <c r="D65" s="87">
        <v>1.0672490439384901E-3</v>
      </c>
      <c r="E65" s="87"/>
      <c r="F65" s="88">
        <v>42.33</v>
      </c>
      <c r="G65" s="88"/>
      <c r="H65" s="85">
        <v>1</v>
      </c>
      <c r="I65" s="87">
        <v>1.0672490439384901E-3</v>
      </c>
      <c r="J65" s="88">
        <v>42.33</v>
      </c>
    </row>
    <row r="66" spans="1:10" ht="15.75" customHeight="1" x14ac:dyDescent="0.3">
      <c r="A66" s="86">
        <v>60</v>
      </c>
      <c r="B66" s="85">
        <v>1</v>
      </c>
      <c r="C66" s="85"/>
      <c r="D66" s="87">
        <v>1.1658302809287925E-3</v>
      </c>
      <c r="E66" s="87"/>
      <c r="F66" s="88">
        <v>46.24</v>
      </c>
      <c r="G66" s="88"/>
      <c r="H66" s="85">
        <v>1</v>
      </c>
      <c r="I66" s="87">
        <v>1.1658302809287925E-3</v>
      </c>
      <c r="J66" s="88">
        <v>46.24</v>
      </c>
    </row>
    <row r="67" spans="1:10" ht="15.75" customHeight="1" x14ac:dyDescent="0.3">
      <c r="A67" s="86">
        <v>62</v>
      </c>
      <c r="B67" s="85">
        <v>1</v>
      </c>
      <c r="C67" s="85"/>
      <c r="D67" s="87">
        <v>1.9514546657415342E-3</v>
      </c>
      <c r="E67" s="87"/>
      <c r="F67" s="88">
        <v>77.400000000000006</v>
      </c>
      <c r="G67" s="88"/>
      <c r="H67" s="85">
        <v>1</v>
      </c>
      <c r="I67" s="87">
        <v>1.9514546657415342E-3</v>
      </c>
      <c r="J67" s="88">
        <v>77.400000000000006</v>
      </c>
    </row>
    <row r="68" spans="1:10" ht="15.75" customHeight="1" x14ac:dyDescent="0.3">
      <c r="A68" s="86">
        <v>63</v>
      </c>
      <c r="B68" s="85">
        <v>1</v>
      </c>
      <c r="C68" s="85"/>
      <c r="D68" s="87">
        <v>9.875772513836679E-4</v>
      </c>
      <c r="E68" s="87"/>
      <c r="F68" s="88">
        <v>39.17</v>
      </c>
      <c r="G68" s="88"/>
      <c r="H68" s="85">
        <v>1</v>
      </c>
      <c r="I68" s="87">
        <v>9.875772513836679E-4</v>
      </c>
      <c r="J68" s="88">
        <v>39.17</v>
      </c>
    </row>
    <row r="69" spans="1:10" ht="15.75" customHeight="1" x14ac:dyDescent="0.3">
      <c r="A69" s="86">
        <v>64</v>
      </c>
      <c r="B69" s="85"/>
      <c r="C69" s="85">
        <v>1</v>
      </c>
      <c r="D69" s="87"/>
      <c r="E69" s="87">
        <v>2.2484590063414729E-3</v>
      </c>
      <c r="F69" s="88"/>
      <c r="G69" s="88">
        <v>89.18</v>
      </c>
      <c r="H69" s="85">
        <v>1</v>
      </c>
      <c r="I69" s="87">
        <v>2.2484590063414729E-3</v>
      </c>
      <c r="J69" s="88">
        <v>89.18</v>
      </c>
    </row>
    <row r="70" spans="1:10" ht="15.75" customHeight="1" x14ac:dyDescent="0.3">
      <c r="A70" s="86">
        <v>67</v>
      </c>
      <c r="B70" s="85">
        <v>2</v>
      </c>
      <c r="C70" s="85"/>
      <c r="D70" s="87">
        <v>2.732792909815567E-3</v>
      </c>
      <c r="E70" s="87"/>
      <c r="F70" s="88">
        <v>108.39</v>
      </c>
      <c r="G70" s="88"/>
      <c r="H70" s="85">
        <v>2</v>
      </c>
      <c r="I70" s="87">
        <v>2.732792909815567E-3</v>
      </c>
      <c r="J70" s="88">
        <v>108.39</v>
      </c>
    </row>
    <row r="71" spans="1:10" ht="15.75" customHeight="1" x14ac:dyDescent="0.3">
      <c r="A71" s="86">
        <v>68</v>
      </c>
      <c r="B71" s="85"/>
      <c r="C71" s="85">
        <v>1</v>
      </c>
      <c r="D71" s="87"/>
      <c r="E71" s="87">
        <v>5.8770553305471777E-4</v>
      </c>
      <c r="F71" s="88"/>
      <c r="G71" s="88">
        <v>23.31</v>
      </c>
      <c r="H71" s="85">
        <v>1</v>
      </c>
      <c r="I71" s="87">
        <v>5.8770553305471777E-4</v>
      </c>
      <c r="J71" s="88">
        <v>23.31</v>
      </c>
    </row>
    <row r="72" spans="1:10" ht="15.75" customHeight="1" x14ac:dyDescent="0.3">
      <c r="A72" s="86">
        <v>74</v>
      </c>
      <c r="B72" s="85"/>
      <c r="C72" s="85">
        <v>1</v>
      </c>
      <c r="D72" s="87"/>
      <c r="E72" s="87">
        <v>1.4025765252610018E-3</v>
      </c>
      <c r="F72" s="88"/>
      <c r="G72" s="88">
        <v>55.63</v>
      </c>
      <c r="H72" s="85">
        <v>1</v>
      </c>
      <c r="I72" s="87">
        <v>1.4025765252610018E-3</v>
      </c>
      <c r="J72" s="88">
        <v>55.63</v>
      </c>
    </row>
    <row r="73" spans="1:10" ht="14.4" x14ac:dyDescent="0.3">
      <c r="A73" s="86" t="s">
        <v>30</v>
      </c>
      <c r="B73" s="85">
        <v>247</v>
      </c>
      <c r="C73" s="85">
        <v>413</v>
      </c>
      <c r="D73" s="87">
        <v>0.37223619560131044</v>
      </c>
      <c r="E73" s="87">
        <v>0.62776380439868995</v>
      </c>
      <c r="F73" s="88">
        <v>14763.899999999992</v>
      </c>
      <c r="G73" s="88">
        <v>24898.819999999996</v>
      </c>
      <c r="H73" s="85">
        <v>660</v>
      </c>
      <c r="I73" s="87">
        <v>1.0000000000000009</v>
      </c>
      <c r="J73" s="93">
        <v>39662.719999999994</v>
      </c>
    </row>
    <row r="74" spans="1:10" ht="15.75" customHeight="1" x14ac:dyDescent="0.3">
      <c r="E74" s="34"/>
    </row>
    <row r="75" spans="1:10" ht="15.75" customHeight="1" x14ac:dyDescent="0.3">
      <c r="E75" s="34"/>
      <c r="H75" s="27"/>
    </row>
    <row r="76" spans="1:10" ht="15.75" customHeight="1" x14ac:dyDescent="0.3">
      <c r="H76" s="27"/>
    </row>
    <row r="77" spans="1:10" ht="15.75" customHeight="1" x14ac:dyDescent="0.3">
      <c r="H77" s="27"/>
    </row>
    <row r="78" spans="1:10" ht="15.75" customHeight="1" x14ac:dyDescent="0.3">
      <c r="H78" s="27"/>
    </row>
    <row r="79" spans="1:10" ht="15.75" customHeight="1" x14ac:dyDescent="0.3">
      <c r="H79" s="27"/>
    </row>
    <row r="80" spans="1:10" ht="15.75" customHeight="1" x14ac:dyDescent="0.3">
      <c r="H80" s="27"/>
    </row>
    <row r="81" spans="8:8" ht="15.75" customHeight="1" x14ac:dyDescent="0.3">
      <c r="H81" s="27"/>
    </row>
    <row r="82" spans="8:8" ht="15.75" customHeight="1" x14ac:dyDescent="0.3">
      <c r="H82" s="27"/>
    </row>
    <row r="83" spans="8:8" ht="15.75" customHeight="1" x14ac:dyDescent="0.3">
      <c r="H83" s="27"/>
    </row>
    <row r="84" spans="8:8" ht="15.75" customHeight="1" x14ac:dyDescent="0.3">
      <c r="H84" s="27"/>
    </row>
    <row r="85" spans="8:8" ht="15.75" customHeight="1" x14ac:dyDescent="0.3">
      <c r="H85" s="27"/>
    </row>
    <row r="86" spans="8:8" ht="15.75" customHeight="1" x14ac:dyDescent="0.3">
      <c r="H86" s="27"/>
    </row>
    <row r="87" spans="8:8" ht="15.75" customHeight="1" x14ac:dyDescent="0.3">
      <c r="H87" s="27"/>
    </row>
    <row r="88" spans="8:8" ht="15.75" customHeight="1" x14ac:dyDescent="0.3">
      <c r="H88" s="27"/>
    </row>
    <row r="89" spans="8:8" ht="15.75" customHeight="1" x14ac:dyDescent="0.3">
      <c r="H89" s="27"/>
    </row>
    <row r="90" spans="8:8" ht="15.75" customHeight="1" x14ac:dyDescent="0.3">
      <c r="H90" s="27"/>
    </row>
    <row r="91" spans="8:8" ht="15.75" customHeight="1" x14ac:dyDescent="0.3">
      <c r="H91" s="27"/>
    </row>
    <row r="92" spans="8:8" ht="15.75" customHeight="1" x14ac:dyDescent="0.3">
      <c r="H92" s="27"/>
    </row>
    <row r="93" spans="8:8" ht="15.75" customHeight="1" x14ac:dyDescent="0.3">
      <c r="H93" s="27"/>
    </row>
    <row r="94" spans="8:8" ht="15.75" customHeight="1" x14ac:dyDescent="0.3">
      <c r="H94" s="27"/>
    </row>
    <row r="95" spans="8:8" ht="15.75" customHeight="1" x14ac:dyDescent="0.3">
      <c r="H95" s="27"/>
    </row>
    <row r="96" spans="8:8" ht="15.75" customHeight="1" x14ac:dyDescent="0.3">
      <c r="H96" s="27"/>
    </row>
    <row r="97" spans="8:8" ht="15.75" customHeight="1" x14ac:dyDescent="0.3">
      <c r="H97" s="27"/>
    </row>
    <row r="98" spans="8:8" ht="15.75" customHeight="1" x14ac:dyDescent="0.3">
      <c r="H98" s="27"/>
    </row>
    <row r="99" spans="8:8" ht="15.75" customHeight="1" x14ac:dyDescent="0.3">
      <c r="H99" s="27"/>
    </row>
    <row r="100" spans="8:8" ht="15.75" customHeight="1" x14ac:dyDescent="0.3">
      <c r="H100" s="27"/>
    </row>
    <row r="101" spans="8:8" ht="15.75" customHeight="1" x14ac:dyDescent="0.3">
      <c r="H101" s="27"/>
    </row>
    <row r="102" spans="8:8" ht="15.75" customHeight="1" x14ac:dyDescent="0.3">
      <c r="H102" s="27"/>
    </row>
    <row r="103" spans="8:8" ht="15.75" customHeight="1" x14ac:dyDescent="0.3">
      <c r="H103" s="27"/>
    </row>
    <row r="104" spans="8:8" ht="15.75" customHeight="1" x14ac:dyDescent="0.3">
      <c r="H104" s="27"/>
    </row>
    <row r="105" spans="8:8" ht="15.75" customHeight="1" x14ac:dyDescent="0.3">
      <c r="H105" s="27"/>
    </row>
    <row r="106" spans="8:8" ht="15.75" customHeight="1" x14ac:dyDescent="0.3">
      <c r="H106" s="27"/>
    </row>
    <row r="107" spans="8:8" ht="15.75" customHeight="1" x14ac:dyDescent="0.3">
      <c r="H107" s="27"/>
    </row>
    <row r="108" spans="8:8" ht="15.75" customHeight="1" x14ac:dyDescent="0.3">
      <c r="H108" s="27"/>
    </row>
    <row r="109" spans="8:8" ht="15.75" customHeight="1" x14ac:dyDescent="0.3">
      <c r="H109" s="27"/>
    </row>
    <row r="110" spans="8:8" ht="15.75" customHeight="1" x14ac:dyDescent="0.3">
      <c r="H110" s="27"/>
    </row>
    <row r="111" spans="8:8" ht="15.75" customHeight="1" x14ac:dyDescent="0.3">
      <c r="H111" s="27"/>
    </row>
    <row r="112" spans="8:8" ht="15.75" customHeight="1" x14ac:dyDescent="0.3">
      <c r="H112" s="27"/>
    </row>
    <row r="113" spans="8:8" ht="15.75" customHeight="1" x14ac:dyDescent="0.3">
      <c r="H113" s="27"/>
    </row>
    <row r="114" spans="8:8" ht="15.75" customHeight="1" x14ac:dyDescent="0.3">
      <c r="H114" s="27"/>
    </row>
    <row r="115" spans="8:8" ht="15.75" customHeight="1" x14ac:dyDescent="0.3">
      <c r="H115" s="27"/>
    </row>
    <row r="116" spans="8:8" ht="15.75" customHeight="1" x14ac:dyDescent="0.3">
      <c r="H116" s="27"/>
    </row>
    <row r="117" spans="8:8" ht="15.75" customHeight="1" x14ac:dyDescent="0.3">
      <c r="H117" s="27"/>
    </row>
    <row r="118" spans="8:8" ht="15.75" customHeight="1" x14ac:dyDescent="0.3">
      <c r="H118" s="27"/>
    </row>
    <row r="119" spans="8:8" ht="15.75" customHeight="1" x14ac:dyDescent="0.3">
      <c r="H119" s="27"/>
    </row>
    <row r="120" spans="8:8" ht="15.75" customHeight="1" x14ac:dyDescent="0.3">
      <c r="H120" s="27"/>
    </row>
    <row r="121" spans="8:8" ht="15.75" customHeight="1" x14ac:dyDescent="0.3">
      <c r="H121" s="27"/>
    </row>
    <row r="122" spans="8:8" ht="15.75" customHeight="1" x14ac:dyDescent="0.3">
      <c r="H122" s="27"/>
    </row>
    <row r="123" spans="8:8" ht="15.75" customHeight="1" x14ac:dyDescent="0.3">
      <c r="H123" s="27"/>
    </row>
    <row r="124" spans="8:8" ht="15.75" customHeight="1" x14ac:dyDescent="0.3">
      <c r="H124" s="27"/>
    </row>
    <row r="125" spans="8:8" ht="15.75" customHeight="1" x14ac:dyDescent="0.3">
      <c r="H125" s="27"/>
    </row>
    <row r="126" spans="8:8" ht="15.75" customHeight="1" x14ac:dyDescent="0.3">
      <c r="H126" s="27"/>
    </row>
    <row r="127" spans="8:8" ht="15.75" customHeight="1" x14ac:dyDescent="0.3">
      <c r="H127" s="27"/>
    </row>
    <row r="128" spans="8:8" ht="15.75" customHeight="1" x14ac:dyDescent="0.3">
      <c r="H128" s="27"/>
    </row>
    <row r="129" spans="8:8" ht="15.75" customHeight="1" x14ac:dyDescent="0.3">
      <c r="H129" s="27"/>
    </row>
    <row r="130" spans="8:8" ht="15.75" customHeight="1" x14ac:dyDescent="0.3">
      <c r="H130" s="27"/>
    </row>
    <row r="131" spans="8:8" ht="15.75" customHeight="1" x14ac:dyDescent="0.3">
      <c r="H131" s="27"/>
    </row>
    <row r="132" spans="8:8" ht="15.75" customHeight="1" x14ac:dyDescent="0.3">
      <c r="H132" s="27"/>
    </row>
    <row r="133" spans="8:8" ht="15.75" customHeight="1" x14ac:dyDescent="0.3">
      <c r="H133" s="27"/>
    </row>
    <row r="134" spans="8:8" ht="15.75" customHeight="1" x14ac:dyDescent="0.3">
      <c r="H134" s="27"/>
    </row>
    <row r="135" spans="8:8" ht="15.75" customHeight="1" x14ac:dyDescent="0.3">
      <c r="H135" s="27"/>
    </row>
    <row r="136" spans="8:8" ht="15.75" customHeight="1" x14ac:dyDescent="0.3">
      <c r="H136" s="27"/>
    </row>
    <row r="137" spans="8:8" ht="15.75" customHeight="1" x14ac:dyDescent="0.3">
      <c r="H137" s="27"/>
    </row>
    <row r="138" spans="8:8" ht="15.75" customHeight="1" x14ac:dyDescent="0.3">
      <c r="H138" s="27"/>
    </row>
    <row r="139" spans="8:8" ht="15.75" customHeight="1" x14ac:dyDescent="0.3">
      <c r="H139" s="27"/>
    </row>
    <row r="140" spans="8:8" ht="15.75" customHeight="1" x14ac:dyDescent="0.3">
      <c r="H140" s="27"/>
    </row>
    <row r="141" spans="8:8" ht="15.75" customHeight="1" x14ac:dyDescent="0.3">
      <c r="H141" s="27"/>
    </row>
    <row r="142" spans="8:8" ht="15.75" customHeight="1" x14ac:dyDescent="0.3">
      <c r="H142" s="27"/>
    </row>
    <row r="143" spans="8:8" ht="15.75" customHeight="1" x14ac:dyDescent="0.3">
      <c r="H143" s="27"/>
    </row>
    <row r="144" spans="8:8" ht="15.75" customHeight="1" x14ac:dyDescent="0.3">
      <c r="H144" s="27"/>
    </row>
    <row r="145" spans="8:8" ht="15.75" customHeight="1" x14ac:dyDescent="0.3">
      <c r="H145" s="27"/>
    </row>
    <row r="146" spans="8:8" ht="15.75" customHeight="1" x14ac:dyDescent="0.3">
      <c r="H146" s="27"/>
    </row>
    <row r="147" spans="8:8" ht="15.75" customHeight="1" x14ac:dyDescent="0.3">
      <c r="H147" s="27"/>
    </row>
    <row r="148" spans="8:8" ht="15.75" customHeight="1" x14ac:dyDescent="0.3">
      <c r="H148" s="27"/>
    </row>
    <row r="149" spans="8:8" ht="15.75" customHeight="1" x14ac:dyDescent="0.3">
      <c r="H149" s="27"/>
    </row>
    <row r="150" spans="8:8" ht="15.75" customHeight="1" x14ac:dyDescent="0.3">
      <c r="H150" s="27"/>
    </row>
    <row r="151" spans="8:8" ht="15.75" customHeight="1" x14ac:dyDescent="0.3">
      <c r="H151" s="27"/>
    </row>
    <row r="152" spans="8:8" ht="15.75" customHeight="1" x14ac:dyDescent="0.3">
      <c r="H152" s="27"/>
    </row>
    <row r="153" spans="8:8" ht="15.75" customHeight="1" x14ac:dyDescent="0.3">
      <c r="H153" s="27"/>
    </row>
    <row r="154" spans="8:8" ht="15.75" customHeight="1" x14ac:dyDescent="0.3">
      <c r="H154" s="27"/>
    </row>
    <row r="155" spans="8:8" ht="15.75" customHeight="1" x14ac:dyDescent="0.3">
      <c r="H155" s="27"/>
    </row>
    <row r="156" spans="8:8" ht="15.75" customHeight="1" x14ac:dyDescent="0.3">
      <c r="H156" s="27"/>
    </row>
    <row r="157" spans="8:8" ht="15.75" customHeight="1" x14ac:dyDescent="0.3">
      <c r="H157" s="27"/>
    </row>
    <row r="158" spans="8:8" ht="15.75" customHeight="1" x14ac:dyDescent="0.3">
      <c r="H158" s="27"/>
    </row>
    <row r="159" spans="8:8" ht="15.75" customHeight="1" x14ac:dyDescent="0.3">
      <c r="H159" s="27"/>
    </row>
    <row r="160" spans="8:8" ht="15.75" customHeight="1" x14ac:dyDescent="0.3">
      <c r="H160" s="27"/>
    </row>
    <row r="161" spans="8:8" ht="15.75" customHeight="1" x14ac:dyDescent="0.3">
      <c r="H161" s="27"/>
    </row>
    <row r="162" spans="8:8" ht="15.75" customHeight="1" x14ac:dyDescent="0.3">
      <c r="H162" s="27"/>
    </row>
    <row r="163" spans="8:8" ht="15.75" customHeight="1" x14ac:dyDescent="0.3">
      <c r="H163" s="27"/>
    </row>
    <row r="164" spans="8:8" ht="15.75" customHeight="1" x14ac:dyDescent="0.3">
      <c r="H164" s="27"/>
    </row>
    <row r="165" spans="8:8" ht="15.75" customHeight="1" x14ac:dyDescent="0.3">
      <c r="H165" s="27"/>
    </row>
    <row r="166" spans="8:8" ht="15.75" customHeight="1" x14ac:dyDescent="0.3">
      <c r="H166" s="27"/>
    </row>
    <row r="167" spans="8:8" ht="15.75" customHeight="1" x14ac:dyDescent="0.3">
      <c r="H167" s="27"/>
    </row>
    <row r="168" spans="8:8" ht="15.75" customHeight="1" x14ac:dyDescent="0.3">
      <c r="H168" s="27"/>
    </row>
    <row r="169" spans="8:8" ht="15.75" customHeight="1" x14ac:dyDescent="0.3">
      <c r="H169" s="27"/>
    </row>
    <row r="170" spans="8:8" ht="15.75" customHeight="1" x14ac:dyDescent="0.3">
      <c r="H170" s="27"/>
    </row>
    <row r="171" spans="8:8" ht="15.75" customHeight="1" x14ac:dyDescent="0.3">
      <c r="H171" s="27"/>
    </row>
    <row r="172" spans="8:8" ht="15.75" customHeight="1" x14ac:dyDescent="0.3">
      <c r="H172" s="27"/>
    </row>
    <row r="173" spans="8:8" ht="15.75" customHeight="1" x14ac:dyDescent="0.3">
      <c r="H173" s="27"/>
    </row>
    <row r="174" spans="8:8" ht="15.75" customHeight="1" x14ac:dyDescent="0.3">
      <c r="H174" s="27"/>
    </row>
    <row r="175" spans="8:8" ht="15.75" customHeight="1" x14ac:dyDescent="0.3">
      <c r="H175" s="27"/>
    </row>
    <row r="176" spans="8:8" ht="15.75" customHeight="1" x14ac:dyDescent="0.3">
      <c r="H176" s="27"/>
    </row>
    <row r="177" spans="8:8" ht="15.75" customHeight="1" x14ac:dyDescent="0.3">
      <c r="H177" s="27"/>
    </row>
    <row r="178" spans="8:8" ht="15.75" customHeight="1" x14ac:dyDescent="0.3">
      <c r="H178" s="27"/>
    </row>
    <row r="179" spans="8:8" ht="15.75" customHeight="1" x14ac:dyDescent="0.3">
      <c r="H179" s="27"/>
    </row>
    <row r="180" spans="8:8" ht="15.75" customHeight="1" x14ac:dyDescent="0.3">
      <c r="H180" s="27"/>
    </row>
    <row r="181" spans="8:8" ht="15.75" customHeight="1" x14ac:dyDescent="0.3">
      <c r="H181" s="27"/>
    </row>
    <row r="182" spans="8:8" ht="15.75" customHeight="1" x14ac:dyDescent="0.3">
      <c r="H182" s="27"/>
    </row>
    <row r="183" spans="8:8" ht="15.75" customHeight="1" x14ac:dyDescent="0.3">
      <c r="H183" s="27"/>
    </row>
    <row r="184" spans="8:8" ht="15.75" customHeight="1" x14ac:dyDescent="0.3">
      <c r="H184" s="27"/>
    </row>
    <row r="185" spans="8:8" ht="15.75" customHeight="1" x14ac:dyDescent="0.3">
      <c r="H185" s="27"/>
    </row>
    <row r="186" spans="8:8" ht="15.75" customHeight="1" x14ac:dyDescent="0.3">
      <c r="H186" s="27"/>
    </row>
    <row r="187" spans="8:8" ht="15.75" customHeight="1" x14ac:dyDescent="0.3">
      <c r="H187" s="27"/>
    </row>
    <row r="188" spans="8:8" ht="14.4" x14ac:dyDescent="0.3">
      <c r="H188" s="27"/>
    </row>
    <row r="189" spans="8:8" ht="15.75" customHeight="1" x14ac:dyDescent="0.3">
      <c r="H189" s="27"/>
    </row>
    <row r="190" spans="8:8" ht="15.75" customHeight="1" x14ac:dyDescent="0.3">
      <c r="H190" s="27"/>
    </row>
    <row r="191" spans="8:8" ht="15.75" customHeight="1" x14ac:dyDescent="0.3">
      <c r="H191" s="27"/>
    </row>
    <row r="192" spans="8:8" ht="15.75" customHeight="1" x14ac:dyDescent="0.3">
      <c r="H192" s="27"/>
    </row>
    <row r="193" spans="8:8" ht="15.75" customHeight="1" x14ac:dyDescent="0.3">
      <c r="H193" s="27"/>
    </row>
    <row r="194" spans="8:8" ht="15.75" customHeight="1" x14ac:dyDescent="0.3">
      <c r="H194" s="27"/>
    </row>
    <row r="195" spans="8:8" ht="15.75" customHeight="1" x14ac:dyDescent="0.3">
      <c r="H195" s="27"/>
    </row>
    <row r="196" spans="8:8" ht="15.75" customHeight="1" x14ac:dyDescent="0.3">
      <c r="H196" s="27"/>
    </row>
    <row r="197" spans="8:8" ht="15.75" customHeight="1" x14ac:dyDescent="0.3">
      <c r="H197" s="27"/>
    </row>
    <row r="198" spans="8:8" ht="15.75" customHeight="1" x14ac:dyDescent="0.3">
      <c r="H198" s="27"/>
    </row>
    <row r="199" spans="8:8" ht="15.75" customHeight="1" x14ac:dyDescent="0.3">
      <c r="H199" s="27"/>
    </row>
    <row r="200" spans="8:8" ht="15.75" customHeight="1" x14ac:dyDescent="0.3">
      <c r="H200" s="27"/>
    </row>
    <row r="201" spans="8:8" ht="15.75" customHeight="1" x14ac:dyDescent="0.3">
      <c r="H201" s="27"/>
    </row>
    <row r="202" spans="8:8" ht="15.75" customHeight="1" x14ac:dyDescent="0.3">
      <c r="H202" s="27"/>
    </row>
    <row r="203" spans="8:8" ht="15.75" customHeight="1" x14ac:dyDescent="0.3">
      <c r="H203" s="27"/>
    </row>
    <row r="204" spans="8:8" ht="15.75" customHeight="1" x14ac:dyDescent="0.3">
      <c r="H204" s="27"/>
    </row>
    <row r="205" spans="8:8" ht="15.75" customHeight="1" x14ac:dyDescent="0.3">
      <c r="H205" s="27"/>
    </row>
    <row r="206" spans="8:8" ht="15.75" customHeight="1" x14ac:dyDescent="0.3">
      <c r="H206" s="27"/>
    </row>
    <row r="207" spans="8:8" ht="15.75" customHeight="1" x14ac:dyDescent="0.3">
      <c r="H207" s="27"/>
    </row>
    <row r="208" spans="8:8" ht="15.75" customHeight="1" x14ac:dyDescent="0.3">
      <c r="H208" s="27"/>
    </row>
    <row r="209" spans="8:8" ht="15.75" customHeight="1" x14ac:dyDescent="0.3">
      <c r="H209" s="27"/>
    </row>
    <row r="210" spans="8:8" ht="15.75" customHeight="1" x14ac:dyDescent="0.3">
      <c r="H210" s="27"/>
    </row>
    <row r="211" spans="8:8" ht="15.75" customHeight="1" x14ac:dyDescent="0.3">
      <c r="H211" s="27"/>
    </row>
    <row r="212" spans="8:8" ht="15.75" customHeight="1" x14ac:dyDescent="0.3">
      <c r="H212" s="27"/>
    </row>
    <row r="213" spans="8:8" ht="15.75" customHeight="1" x14ac:dyDescent="0.3">
      <c r="H213" s="27"/>
    </row>
    <row r="214" spans="8:8" ht="15.75" customHeight="1" x14ac:dyDescent="0.3">
      <c r="H214" s="27"/>
    </row>
    <row r="215" spans="8:8" ht="15.75" customHeight="1" x14ac:dyDescent="0.3">
      <c r="H215" s="27"/>
    </row>
    <row r="216" spans="8:8" ht="15.75" customHeight="1" x14ac:dyDescent="0.3">
      <c r="H216" s="27"/>
    </row>
    <row r="217" spans="8:8" ht="15.75" customHeight="1" x14ac:dyDescent="0.3">
      <c r="H217" s="27"/>
    </row>
    <row r="218" spans="8:8" ht="15.75" customHeight="1" x14ac:dyDescent="0.3">
      <c r="H218" s="27"/>
    </row>
    <row r="219" spans="8:8" ht="15.75" customHeight="1" x14ac:dyDescent="0.3">
      <c r="H219" s="27"/>
    </row>
    <row r="220" spans="8:8" ht="15.75" customHeight="1" x14ac:dyDescent="0.3">
      <c r="H220" s="27"/>
    </row>
    <row r="221" spans="8:8" ht="15.75" customHeight="1" x14ac:dyDescent="0.3">
      <c r="H221" s="27"/>
    </row>
    <row r="222" spans="8:8" ht="15.75" customHeight="1" x14ac:dyDescent="0.3">
      <c r="H222" s="27"/>
    </row>
    <row r="223" spans="8:8" ht="15.75" customHeight="1" x14ac:dyDescent="0.3">
      <c r="H223" s="27"/>
    </row>
    <row r="224" spans="8:8" ht="15.75" customHeight="1" x14ac:dyDescent="0.3">
      <c r="H224" s="27"/>
    </row>
    <row r="225" spans="8:8" ht="15.75" customHeight="1" x14ac:dyDescent="0.3">
      <c r="H225" s="27"/>
    </row>
    <row r="226" spans="8:8" ht="15.75" customHeight="1" x14ac:dyDescent="0.3">
      <c r="H226" s="27"/>
    </row>
    <row r="227" spans="8:8" ht="15.75" customHeight="1" x14ac:dyDescent="0.3">
      <c r="H227" s="27"/>
    </row>
    <row r="228" spans="8:8" ht="15.75" customHeight="1" x14ac:dyDescent="0.3">
      <c r="H228" s="27"/>
    </row>
    <row r="229" spans="8:8" ht="15.75" customHeight="1" x14ac:dyDescent="0.3">
      <c r="H229" s="27"/>
    </row>
    <row r="230" spans="8:8" ht="15.75" customHeight="1" x14ac:dyDescent="0.3">
      <c r="H230" s="27"/>
    </row>
    <row r="231" spans="8:8" ht="15.75" customHeight="1" x14ac:dyDescent="0.3">
      <c r="H231" s="27"/>
    </row>
    <row r="232" spans="8:8" ht="15.75" customHeight="1" x14ac:dyDescent="0.3">
      <c r="H232" s="27"/>
    </row>
    <row r="233" spans="8:8" ht="15.75" customHeight="1" x14ac:dyDescent="0.3">
      <c r="H233" s="27"/>
    </row>
    <row r="234" spans="8:8" ht="15.75" customHeight="1" x14ac:dyDescent="0.3">
      <c r="H234" s="27"/>
    </row>
    <row r="235" spans="8:8" ht="15.75" customHeight="1" x14ac:dyDescent="0.3">
      <c r="H235" s="27"/>
    </row>
    <row r="236" spans="8:8" ht="15.75" customHeight="1" x14ac:dyDescent="0.3">
      <c r="H236" s="27"/>
    </row>
    <row r="237" spans="8:8" ht="15.75" customHeight="1" x14ac:dyDescent="0.3">
      <c r="H237" s="27"/>
    </row>
    <row r="238" spans="8:8" ht="15.75" customHeight="1" x14ac:dyDescent="0.3">
      <c r="H238" s="27"/>
    </row>
    <row r="239" spans="8:8" ht="15.75" customHeight="1" x14ac:dyDescent="0.3">
      <c r="H239" s="27"/>
    </row>
    <row r="240" spans="8:8" ht="15.75" customHeight="1" x14ac:dyDescent="0.3">
      <c r="H240" s="27"/>
    </row>
    <row r="241" spans="8:8" ht="15.75" customHeight="1" x14ac:dyDescent="0.3">
      <c r="H241" s="27"/>
    </row>
    <row r="242" spans="8:8" ht="15.75" customHeight="1" x14ac:dyDescent="0.3">
      <c r="H242" s="27"/>
    </row>
    <row r="243" spans="8:8" ht="15.75" customHeight="1" x14ac:dyDescent="0.3">
      <c r="H243" s="27"/>
    </row>
    <row r="244" spans="8:8" ht="15.75" customHeight="1" x14ac:dyDescent="0.3">
      <c r="H244" s="27"/>
    </row>
    <row r="245" spans="8:8" ht="15.75" customHeight="1" x14ac:dyDescent="0.3">
      <c r="H245" s="27"/>
    </row>
    <row r="246" spans="8:8" ht="15.75" customHeight="1" x14ac:dyDescent="0.3">
      <c r="H246" s="27"/>
    </row>
    <row r="247" spans="8:8" ht="15.75" customHeight="1" x14ac:dyDescent="0.3">
      <c r="H247" s="27"/>
    </row>
    <row r="248" spans="8:8" ht="15.75" customHeight="1" x14ac:dyDescent="0.3">
      <c r="H248" s="27"/>
    </row>
    <row r="249" spans="8:8" ht="15.75" customHeight="1" x14ac:dyDescent="0.3">
      <c r="H249" s="27"/>
    </row>
    <row r="250" spans="8:8" ht="15.75" customHeight="1" x14ac:dyDescent="0.3">
      <c r="H250" s="27"/>
    </row>
    <row r="251" spans="8:8" ht="15.75" customHeight="1" x14ac:dyDescent="0.3">
      <c r="H251" s="27"/>
    </row>
    <row r="252" spans="8:8" ht="15.75" customHeight="1" x14ac:dyDescent="0.3">
      <c r="H252" s="27"/>
    </row>
    <row r="253" spans="8:8" ht="15.75" customHeight="1" x14ac:dyDescent="0.3">
      <c r="H253" s="27"/>
    </row>
    <row r="254" spans="8:8" ht="15.75" customHeight="1" x14ac:dyDescent="0.3">
      <c r="H254" s="27"/>
    </row>
    <row r="255" spans="8:8" ht="15.75" customHeight="1" x14ac:dyDescent="0.3">
      <c r="H255" s="27"/>
    </row>
    <row r="256" spans="8:8" ht="15.75" customHeight="1" x14ac:dyDescent="0.3">
      <c r="H256" s="27"/>
    </row>
    <row r="257" spans="8:8" ht="15.75" customHeight="1" x14ac:dyDescent="0.3">
      <c r="H257" s="27"/>
    </row>
    <row r="258" spans="8:8" ht="15.75" customHeight="1" x14ac:dyDescent="0.3">
      <c r="H258" s="27"/>
    </row>
    <row r="259" spans="8:8" ht="15.75" customHeight="1" x14ac:dyDescent="0.3">
      <c r="H259" s="27"/>
    </row>
    <row r="260" spans="8:8" ht="15.75" customHeight="1" x14ac:dyDescent="0.3">
      <c r="H260" s="27"/>
    </row>
    <row r="261" spans="8:8" ht="15.75" customHeight="1" x14ac:dyDescent="0.3">
      <c r="H261" s="27"/>
    </row>
    <row r="262" spans="8:8" ht="15.75" customHeight="1" x14ac:dyDescent="0.3">
      <c r="H262" s="27"/>
    </row>
    <row r="263" spans="8:8" ht="15.75" customHeight="1" x14ac:dyDescent="0.3">
      <c r="H263" s="27"/>
    </row>
    <row r="264" spans="8:8" ht="15.75" customHeight="1" x14ac:dyDescent="0.3">
      <c r="H264" s="27"/>
    </row>
    <row r="265" spans="8:8" ht="15.75" customHeight="1" x14ac:dyDescent="0.3">
      <c r="H265" s="27"/>
    </row>
    <row r="266" spans="8:8" ht="15.75" customHeight="1" x14ac:dyDescent="0.3">
      <c r="H266" s="27"/>
    </row>
    <row r="267" spans="8:8" ht="15.75" customHeight="1" x14ac:dyDescent="0.3">
      <c r="H267" s="27"/>
    </row>
    <row r="268" spans="8:8" ht="15.75" customHeight="1" x14ac:dyDescent="0.3">
      <c r="H268" s="27"/>
    </row>
    <row r="269" spans="8:8" ht="15.75" customHeight="1" x14ac:dyDescent="0.3">
      <c r="H269" s="27"/>
    </row>
    <row r="270" spans="8:8" ht="15.75" customHeight="1" x14ac:dyDescent="0.3">
      <c r="H270" s="27"/>
    </row>
    <row r="271" spans="8:8" ht="15.75" customHeight="1" x14ac:dyDescent="0.3">
      <c r="H271" s="27"/>
    </row>
    <row r="272" spans="8:8" ht="15.75" customHeight="1" x14ac:dyDescent="0.3">
      <c r="H272" s="27"/>
    </row>
    <row r="273" spans="8:8" ht="15.75" customHeight="1" x14ac:dyDescent="0.3">
      <c r="H273" s="27"/>
    </row>
    <row r="274" spans="8:8" ht="15.75" customHeight="1" x14ac:dyDescent="0.3">
      <c r="H274" s="27"/>
    </row>
    <row r="275" spans="8:8" ht="15.75" customHeight="1" x14ac:dyDescent="0.3">
      <c r="H275" s="27"/>
    </row>
    <row r="276" spans="8:8" ht="15.75" customHeight="1" x14ac:dyDescent="0.3">
      <c r="H276" s="27"/>
    </row>
    <row r="277" spans="8:8" ht="15.75" customHeight="1" x14ac:dyDescent="0.3">
      <c r="H277" s="27"/>
    </row>
    <row r="278" spans="8:8" ht="15.75" customHeight="1" x14ac:dyDescent="0.3">
      <c r="H278" s="27"/>
    </row>
    <row r="279" spans="8:8" ht="15.75" customHeight="1" x14ac:dyDescent="0.3">
      <c r="H279" s="27"/>
    </row>
    <row r="280" spans="8:8" ht="15.75" customHeight="1" x14ac:dyDescent="0.3">
      <c r="H280" s="27"/>
    </row>
    <row r="281" spans="8:8" ht="15.75" customHeight="1" x14ac:dyDescent="0.3">
      <c r="H281" s="27"/>
    </row>
    <row r="282" spans="8:8" ht="15.75" customHeight="1" x14ac:dyDescent="0.3">
      <c r="H282" s="27"/>
    </row>
    <row r="283" spans="8:8" ht="15.75" customHeight="1" x14ac:dyDescent="0.3">
      <c r="H283" s="27"/>
    </row>
    <row r="284" spans="8:8" ht="15.75" customHeight="1" x14ac:dyDescent="0.3">
      <c r="H284" s="27"/>
    </row>
    <row r="285" spans="8:8" ht="15.75" customHeight="1" x14ac:dyDescent="0.3">
      <c r="H285" s="27"/>
    </row>
    <row r="286" spans="8:8" ht="15.75" customHeight="1" x14ac:dyDescent="0.3">
      <c r="H286" s="27"/>
    </row>
    <row r="287" spans="8:8" ht="15.75" customHeight="1" x14ac:dyDescent="0.3">
      <c r="H287" s="27"/>
    </row>
    <row r="288" spans="8:8" ht="15.75" customHeight="1" x14ac:dyDescent="0.3">
      <c r="H288" s="27"/>
    </row>
    <row r="289" spans="8:8" ht="15.75" customHeight="1" x14ac:dyDescent="0.3">
      <c r="H289" s="27"/>
    </row>
    <row r="290" spans="8:8" ht="15.75" customHeight="1" x14ac:dyDescent="0.3">
      <c r="H290" s="27"/>
    </row>
    <row r="291" spans="8:8" ht="15.75" customHeight="1" x14ac:dyDescent="0.3">
      <c r="H291" s="27"/>
    </row>
    <row r="292" spans="8:8" ht="15.75" customHeight="1" x14ac:dyDescent="0.3">
      <c r="H292" s="27"/>
    </row>
    <row r="293" spans="8:8" ht="15.75" customHeight="1" x14ac:dyDescent="0.3">
      <c r="H293" s="27"/>
    </row>
    <row r="294" spans="8:8" ht="15.75" customHeight="1" x14ac:dyDescent="0.3">
      <c r="H294" s="27"/>
    </row>
    <row r="295" spans="8:8" ht="15.75" customHeight="1" x14ac:dyDescent="0.3">
      <c r="H295" s="27"/>
    </row>
    <row r="296" spans="8:8" ht="15.75" customHeight="1" x14ac:dyDescent="0.3">
      <c r="H296" s="27"/>
    </row>
    <row r="297" spans="8:8" ht="15.75" customHeight="1" x14ac:dyDescent="0.3">
      <c r="H297" s="27"/>
    </row>
    <row r="298" spans="8:8" ht="15.75" customHeight="1" x14ac:dyDescent="0.3">
      <c r="H298" s="27"/>
    </row>
    <row r="299" spans="8:8" ht="15.75" customHeight="1" x14ac:dyDescent="0.3">
      <c r="H299" s="27"/>
    </row>
    <row r="300" spans="8:8" ht="15.75" customHeight="1" x14ac:dyDescent="0.3">
      <c r="H300" s="27"/>
    </row>
    <row r="301" spans="8:8" ht="15.75" customHeight="1" x14ac:dyDescent="0.3">
      <c r="H301" s="27"/>
    </row>
    <row r="302" spans="8:8" ht="15.75" customHeight="1" x14ac:dyDescent="0.3">
      <c r="H302" s="27"/>
    </row>
    <row r="303" spans="8:8" ht="15.75" customHeight="1" x14ac:dyDescent="0.3">
      <c r="H303" s="27"/>
    </row>
    <row r="304" spans="8:8" ht="15.75" customHeight="1" x14ac:dyDescent="0.3">
      <c r="H304" s="27"/>
    </row>
    <row r="305" spans="8:8" ht="15.75" customHeight="1" x14ac:dyDescent="0.3">
      <c r="H305" s="27"/>
    </row>
    <row r="306" spans="8:8" ht="15.75" customHeight="1" x14ac:dyDescent="0.3">
      <c r="H306" s="27"/>
    </row>
    <row r="307" spans="8:8" ht="15.75" customHeight="1" x14ac:dyDescent="0.3">
      <c r="H307" s="27"/>
    </row>
    <row r="308" spans="8:8" ht="15.75" customHeight="1" x14ac:dyDescent="0.3">
      <c r="H308" s="27"/>
    </row>
    <row r="309" spans="8:8" ht="15.75" customHeight="1" x14ac:dyDescent="0.3">
      <c r="H309" s="27"/>
    </row>
    <row r="310" spans="8:8" ht="15.75" customHeight="1" x14ac:dyDescent="0.3">
      <c r="H310" s="27"/>
    </row>
    <row r="311" spans="8:8" ht="15.75" customHeight="1" x14ac:dyDescent="0.3">
      <c r="H311" s="27"/>
    </row>
    <row r="312" spans="8:8" ht="15.75" customHeight="1" x14ac:dyDescent="0.3">
      <c r="H312" s="27"/>
    </row>
    <row r="313" spans="8:8" ht="15.75" customHeight="1" x14ac:dyDescent="0.3">
      <c r="H313" s="27"/>
    </row>
    <row r="314" spans="8:8" ht="15.75" customHeight="1" x14ac:dyDescent="0.3">
      <c r="H314" s="27"/>
    </row>
    <row r="315" spans="8:8" ht="15.75" customHeight="1" x14ac:dyDescent="0.3">
      <c r="H315" s="27"/>
    </row>
    <row r="316" spans="8:8" ht="15.75" customHeight="1" x14ac:dyDescent="0.3">
      <c r="H316" s="27"/>
    </row>
    <row r="317" spans="8:8" ht="15.75" customHeight="1" x14ac:dyDescent="0.3">
      <c r="H317" s="27"/>
    </row>
    <row r="318" spans="8:8" ht="15.75" customHeight="1" x14ac:dyDescent="0.3">
      <c r="H318" s="27"/>
    </row>
    <row r="319" spans="8:8" ht="15.75" customHeight="1" x14ac:dyDescent="0.3">
      <c r="H319" s="27"/>
    </row>
    <row r="320" spans="8:8" ht="15.75" customHeight="1" x14ac:dyDescent="0.3">
      <c r="H320" s="27"/>
    </row>
    <row r="321" spans="8:8" ht="15.75" customHeight="1" x14ac:dyDescent="0.3">
      <c r="H321" s="27"/>
    </row>
    <row r="322" spans="8:8" ht="15.75" customHeight="1" x14ac:dyDescent="0.3">
      <c r="H322" s="27"/>
    </row>
    <row r="323" spans="8:8" ht="15.75" customHeight="1" x14ac:dyDescent="0.3">
      <c r="H323" s="27"/>
    </row>
    <row r="324" spans="8:8" ht="15.75" customHeight="1" x14ac:dyDescent="0.3">
      <c r="H324" s="27"/>
    </row>
    <row r="325" spans="8:8" ht="15.75" customHeight="1" x14ac:dyDescent="0.3">
      <c r="H325" s="27"/>
    </row>
    <row r="326" spans="8:8" ht="15.75" customHeight="1" x14ac:dyDescent="0.3">
      <c r="H326" s="27"/>
    </row>
    <row r="327" spans="8:8" ht="15.75" customHeight="1" x14ac:dyDescent="0.3">
      <c r="H327" s="27"/>
    </row>
    <row r="328" spans="8:8" ht="15.75" customHeight="1" x14ac:dyDescent="0.3">
      <c r="H328" s="27"/>
    </row>
    <row r="329" spans="8:8" ht="15.75" customHeight="1" x14ac:dyDescent="0.3">
      <c r="H329" s="27"/>
    </row>
    <row r="330" spans="8:8" ht="15.75" customHeight="1" x14ac:dyDescent="0.3">
      <c r="H330" s="27"/>
    </row>
    <row r="331" spans="8:8" ht="15.75" customHeight="1" x14ac:dyDescent="0.3">
      <c r="H331" s="27"/>
    </row>
    <row r="332" spans="8:8" ht="15.75" customHeight="1" x14ac:dyDescent="0.3">
      <c r="H332" s="27"/>
    </row>
    <row r="333" spans="8:8" ht="15.75" customHeight="1" x14ac:dyDescent="0.3">
      <c r="H333" s="27"/>
    </row>
    <row r="334" spans="8:8" ht="15.75" customHeight="1" x14ac:dyDescent="0.3">
      <c r="H334" s="27"/>
    </row>
    <row r="335" spans="8:8" ht="15.75" customHeight="1" x14ac:dyDescent="0.3">
      <c r="H335" s="27"/>
    </row>
    <row r="336" spans="8:8" ht="15.75" customHeight="1" x14ac:dyDescent="0.3">
      <c r="H336" s="27"/>
    </row>
    <row r="337" spans="8:8" ht="15.75" customHeight="1" x14ac:dyDescent="0.3">
      <c r="H337" s="27"/>
    </row>
    <row r="338" spans="8:8" ht="15.75" customHeight="1" x14ac:dyDescent="0.3">
      <c r="H338" s="27"/>
    </row>
    <row r="339" spans="8:8" ht="15.75" customHeight="1" x14ac:dyDescent="0.3">
      <c r="H339" s="27"/>
    </row>
    <row r="340" spans="8:8" ht="15.75" customHeight="1" x14ac:dyDescent="0.3">
      <c r="H340" s="27"/>
    </row>
    <row r="341" spans="8:8" ht="15.75" customHeight="1" x14ac:dyDescent="0.3">
      <c r="H341" s="27"/>
    </row>
    <row r="342" spans="8:8" ht="15.75" customHeight="1" x14ac:dyDescent="0.3">
      <c r="H342" s="27"/>
    </row>
    <row r="343" spans="8:8" ht="15.75" customHeight="1" x14ac:dyDescent="0.3">
      <c r="H343" s="27"/>
    </row>
    <row r="344" spans="8:8" ht="15.75" customHeight="1" x14ac:dyDescent="0.3">
      <c r="H344" s="27"/>
    </row>
    <row r="345" spans="8:8" ht="15.75" customHeight="1" x14ac:dyDescent="0.3">
      <c r="H345" s="27"/>
    </row>
    <row r="346" spans="8:8" ht="15.75" customHeight="1" x14ac:dyDescent="0.3">
      <c r="H346" s="27"/>
    </row>
    <row r="347" spans="8:8" ht="15.75" customHeight="1" x14ac:dyDescent="0.3">
      <c r="H347" s="27"/>
    </row>
    <row r="348" spans="8:8" ht="15.75" customHeight="1" x14ac:dyDescent="0.3">
      <c r="H348" s="27"/>
    </row>
    <row r="349" spans="8:8" ht="15.75" customHeight="1" x14ac:dyDescent="0.3">
      <c r="H349" s="27"/>
    </row>
    <row r="350" spans="8:8" ht="15.75" customHeight="1" x14ac:dyDescent="0.3">
      <c r="H350" s="27"/>
    </row>
    <row r="351" spans="8:8" ht="15.75" customHeight="1" x14ac:dyDescent="0.3">
      <c r="H351" s="27"/>
    </row>
    <row r="352" spans="8:8" ht="15.75" customHeight="1" x14ac:dyDescent="0.3">
      <c r="H352" s="27"/>
    </row>
    <row r="353" spans="8:8" ht="15.75" customHeight="1" x14ac:dyDescent="0.3">
      <c r="H353" s="27"/>
    </row>
    <row r="354" spans="8:8" ht="15.75" customHeight="1" x14ac:dyDescent="0.3">
      <c r="H354" s="27"/>
    </row>
    <row r="355" spans="8:8" ht="15.75" customHeight="1" x14ac:dyDescent="0.3">
      <c r="H355" s="27"/>
    </row>
    <row r="356" spans="8:8" ht="15.75" customHeight="1" x14ac:dyDescent="0.3">
      <c r="H356" s="27"/>
    </row>
    <row r="357" spans="8:8" ht="15.75" customHeight="1" x14ac:dyDescent="0.3">
      <c r="H357" s="27"/>
    </row>
    <row r="358" spans="8:8" ht="15.75" customHeight="1" x14ac:dyDescent="0.3">
      <c r="H358" s="27"/>
    </row>
    <row r="359" spans="8:8" ht="15.75" customHeight="1" x14ac:dyDescent="0.3">
      <c r="H359" s="27"/>
    </row>
    <row r="360" spans="8:8" ht="15.75" customHeight="1" x14ac:dyDescent="0.3">
      <c r="H360" s="27"/>
    </row>
    <row r="361" spans="8:8" ht="15.75" customHeight="1" x14ac:dyDescent="0.3">
      <c r="H361" s="27"/>
    </row>
    <row r="362" spans="8:8" ht="15.75" customHeight="1" x14ac:dyDescent="0.3">
      <c r="H362" s="27"/>
    </row>
    <row r="363" spans="8:8" ht="15.75" customHeight="1" x14ac:dyDescent="0.3">
      <c r="H363" s="27"/>
    </row>
    <row r="364" spans="8:8" ht="15.75" customHeight="1" x14ac:dyDescent="0.3">
      <c r="H364" s="27"/>
    </row>
    <row r="365" spans="8:8" ht="15.75" customHeight="1" x14ac:dyDescent="0.3">
      <c r="H365" s="27"/>
    </row>
    <row r="366" spans="8:8" ht="15.75" customHeight="1" x14ac:dyDescent="0.3">
      <c r="H366" s="27"/>
    </row>
    <row r="367" spans="8:8" ht="15.75" customHeight="1" x14ac:dyDescent="0.3">
      <c r="H367" s="27"/>
    </row>
    <row r="368" spans="8:8" ht="15.75" customHeight="1" x14ac:dyDescent="0.3">
      <c r="H368" s="27"/>
    </row>
    <row r="369" spans="8:8" ht="15.75" customHeight="1" x14ac:dyDescent="0.3">
      <c r="H369" s="27"/>
    </row>
    <row r="370" spans="8:8" ht="15.75" customHeight="1" x14ac:dyDescent="0.3">
      <c r="H370" s="27"/>
    </row>
    <row r="371" spans="8:8" ht="15.75" customHeight="1" x14ac:dyDescent="0.3">
      <c r="H371" s="27"/>
    </row>
    <row r="372" spans="8:8" ht="15.75" customHeight="1" x14ac:dyDescent="0.3">
      <c r="H372" s="27"/>
    </row>
    <row r="373" spans="8:8" ht="15.75" customHeight="1" x14ac:dyDescent="0.3">
      <c r="H373" s="27"/>
    </row>
    <row r="374" spans="8:8" ht="15.75" customHeight="1" x14ac:dyDescent="0.3">
      <c r="H374" s="27"/>
    </row>
    <row r="375" spans="8:8" ht="15.75" customHeight="1" x14ac:dyDescent="0.3">
      <c r="H375" s="27"/>
    </row>
    <row r="376" spans="8:8" ht="15.75" customHeight="1" x14ac:dyDescent="0.3">
      <c r="H376" s="27"/>
    </row>
    <row r="377" spans="8:8" ht="15.75" customHeight="1" x14ac:dyDescent="0.3">
      <c r="H377" s="27"/>
    </row>
    <row r="378" spans="8:8" ht="15.75" customHeight="1" x14ac:dyDescent="0.3">
      <c r="H378" s="27"/>
    </row>
    <row r="379" spans="8:8" ht="15.75" customHeight="1" x14ac:dyDescent="0.3">
      <c r="H379" s="27"/>
    </row>
    <row r="380" spans="8:8" ht="15.75" customHeight="1" x14ac:dyDescent="0.3">
      <c r="H380" s="27"/>
    </row>
    <row r="381" spans="8:8" ht="15.75" customHeight="1" x14ac:dyDescent="0.3">
      <c r="H381" s="27"/>
    </row>
    <row r="382" spans="8:8" ht="15.75" customHeight="1" x14ac:dyDescent="0.3">
      <c r="H382" s="27"/>
    </row>
    <row r="383" spans="8:8" ht="15.75" customHeight="1" x14ac:dyDescent="0.3">
      <c r="H383" s="27"/>
    </row>
    <row r="384" spans="8:8" ht="15.75" customHeight="1" x14ac:dyDescent="0.3">
      <c r="H384" s="27"/>
    </row>
    <row r="385" spans="8:8" ht="15.75" customHeight="1" x14ac:dyDescent="0.3">
      <c r="H385" s="27"/>
    </row>
    <row r="386" spans="8:8" ht="15.75" customHeight="1" x14ac:dyDescent="0.3">
      <c r="H386" s="27"/>
    </row>
    <row r="387" spans="8:8" ht="15.75" customHeight="1" x14ac:dyDescent="0.3">
      <c r="H387" s="27"/>
    </row>
    <row r="388" spans="8:8" ht="15.75" customHeight="1" x14ac:dyDescent="0.3">
      <c r="H388" s="27"/>
    </row>
    <row r="389" spans="8:8" ht="15.75" customHeight="1" x14ac:dyDescent="0.3">
      <c r="H389" s="27"/>
    </row>
    <row r="390" spans="8:8" ht="15.75" customHeight="1" x14ac:dyDescent="0.3">
      <c r="H390" s="27"/>
    </row>
    <row r="391" spans="8:8" ht="15.75" customHeight="1" x14ac:dyDescent="0.3">
      <c r="H391" s="27"/>
    </row>
    <row r="392" spans="8:8" ht="15.75" customHeight="1" x14ac:dyDescent="0.3">
      <c r="H392" s="27"/>
    </row>
    <row r="393" spans="8:8" ht="15.75" customHeight="1" x14ac:dyDescent="0.3">
      <c r="H393" s="27"/>
    </row>
    <row r="394" spans="8:8" ht="15.75" customHeight="1" x14ac:dyDescent="0.3">
      <c r="H394" s="27"/>
    </row>
    <row r="395" spans="8:8" ht="15.75" customHeight="1" x14ac:dyDescent="0.3">
      <c r="H395" s="27"/>
    </row>
    <row r="396" spans="8:8" ht="15.75" customHeight="1" x14ac:dyDescent="0.3">
      <c r="H396" s="27"/>
    </row>
    <row r="397" spans="8:8" ht="15.75" customHeight="1" x14ac:dyDescent="0.3">
      <c r="H397" s="27"/>
    </row>
    <row r="398" spans="8:8" ht="15.75" customHeight="1" x14ac:dyDescent="0.3">
      <c r="H398" s="27"/>
    </row>
    <row r="399" spans="8:8" ht="15.75" customHeight="1" x14ac:dyDescent="0.3">
      <c r="H399" s="27"/>
    </row>
    <row r="400" spans="8:8" ht="15.75" customHeight="1" x14ac:dyDescent="0.3">
      <c r="H400" s="27"/>
    </row>
    <row r="401" spans="8:8" ht="15.75" customHeight="1" x14ac:dyDescent="0.3">
      <c r="H401" s="27"/>
    </row>
    <row r="402" spans="8:8" ht="15.75" customHeight="1" x14ac:dyDescent="0.3">
      <c r="H402" s="27"/>
    </row>
    <row r="403" spans="8:8" ht="15.75" customHeight="1" x14ac:dyDescent="0.3">
      <c r="H403" s="27"/>
    </row>
    <row r="404" spans="8:8" ht="15.75" customHeight="1" x14ac:dyDescent="0.3">
      <c r="H404" s="27"/>
    </row>
    <row r="405" spans="8:8" ht="15.75" customHeight="1" x14ac:dyDescent="0.3">
      <c r="H405" s="27"/>
    </row>
    <row r="406" spans="8:8" ht="15.75" customHeight="1" x14ac:dyDescent="0.3">
      <c r="H406" s="27"/>
    </row>
    <row r="407" spans="8:8" ht="15.75" customHeight="1" x14ac:dyDescent="0.3">
      <c r="H407" s="27"/>
    </row>
    <row r="408" spans="8:8" ht="15.75" customHeight="1" x14ac:dyDescent="0.3">
      <c r="H408" s="27"/>
    </row>
    <row r="409" spans="8:8" ht="15.75" customHeight="1" x14ac:dyDescent="0.3">
      <c r="H409" s="27"/>
    </row>
    <row r="410" spans="8:8" ht="15.75" customHeight="1" x14ac:dyDescent="0.3">
      <c r="H410" s="27"/>
    </row>
    <row r="411" spans="8:8" ht="15.75" customHeight="1" x14ac:dyDescent="0.3">
      <c r="H411" s="27"/>
    </row>
    <row r="412" spans="8:8" ht="15.75" customHeight="1" x14ac:dyDescent="0.3">
      <c r="H412" s="27"/>
    </row>
    <row r="413" spans="8:8" ht="15.75" customHeight="1" x14ac:dyDescent="0.3">
      <c r="H413" s="27"/>
    </row>
    <row r="414" spans="8:8" ht="15.75" customHeight="1" x14ac:dyDescent="0.3">
      <c r="H414" s="27"/>
    </row>
    <row r="415" spans="8:8" ht="15.75" customHeight="1" x14ac:dyDescent="0.3">
      <c r="H415" s="27"/>
    </row>
    <row r="416" spans="8:8" ht="15.75" customHeight="1" x14ac:dyDescent="0.3">
      <c r="H416" s="27"/>
    </row>
    <row r="417" spans="8:8" ht="15.75" customHeight="1" x14ac:dyDescent="0.3">
      <c r="H417" s="27"/>
    </row>
    <row r="418" spans="8:8" ht="15.75" customHeight="1" x14ac:dyDescent="0.3">
      <c r="H418" s="27"/>
    </row>
    <row r="419" spans="8:8" ht="15.75" customHeight="1" x14ac:dyDescent="0.3">
      <c r="H419" s="27"/>
    </row>
    <row r="420" spans="8:8" ht="15.75" customHeight="1" x14ac:dyDescent="0.3">
      <c r="H420" s="27"/>
    </row>
    <row r="421" spans="8:8" ht="15.75" customHeight="1" x14ac:dyDescent="0.3">
      <c r="H421" s="27"/>
    </row>
    <row r="422" spans="8:8" ht="15.75" customHeight="1" x14ac:dyDescent="0.3">
      <c r="H422" s="27"/>
    </row>
    <row r="423" spans="8:8" ht="15.75" customHeight="1" x14ac:dyDescent="0.3">
      <c r="H423" s="27"/>
    </row>
    <row r="424" spans="8:8" ht="15.75" customHeight="1" x14ac:dyDescent="0.3">
      <c r="H424" s="27"/>
    </row>
    <row r="425" spans="8:8" ht="15.75" customHeight="1" x14ac:dyDescent="0.3">
      <c r="H425" s="27"/>
    </row>
    <row r="426" spans="8:8" ht="15.75" customHeight="1" x14ac:dyDescent="0.3">
      <c r="H426" s="27"/>
    </row>
    <row r="427" spans="8:8" ht="15.75" customHeight="1" x14ac:dyDescent="0.3">
      <c r="H427" s="27"/>
    </row>
    <row r="428" spans="8:8" ht="15.75" customHeight="1" x14ac:dyDescent="0.3">
      <c r="H428" s="27"/>
    </row>
    <row r="429" spans="8:8" ht="15.75" customHeight="1" x14ac:dyDescent="0.3">
      <c r="H429" s="27"/>
    </row>
    <row r="430" spans="8:8" ht="15.75" customHeight="1" x14ac:dyDescent="0.3">
      <c r="H430" s="27"/>
    </row>
    <row r="431" spans="8:8" ht="15.75" customHeight="1" x14ac:dyDescent="0.3">
      <c r="H431" s="27"/>
    </row>
    <row r="432" spans="8:8" ht="15.75" customHeight="1" x14ac:dyDescent="0.3">
      <c r="H432" s="27"/>
    </row>
    <row r="433" spans="8:8" ht="15.75" customHeight="1" x14ac:dyDescent="0.3">
      <c r="H433" s="27"/>
    </row>
    <row r="434" spans="8:8" ht="15.75" customHeight="1" x14ac:dyDescent="0.3">
      <c r="H434" s="27"/>
    </row>
    <row r="435" spans="8:8" ht="15.75" customHeight="1" x14ac:dyDescent="0.3">
      <c r="H435" s="27"/>
    </row>
    <row r="436" spans="8:8" ht="15.75" customHeight="1" x14ac:dyDescent="0.3">
      <c r="H436" s="27"/>
    </row>
    <row r="437" spans="8:8" ht="15.75" customHeight="1" x14ac:dyDescent="0.3">
      <c r="H437" s="27"/>
    </row>
    <row r="438" spans="8:8" ht="15.75" customHeight="1" x14ac:dyDescent="0.3">
      <c r="H438" s="27"/>
    </row>
    <row r="439" spans="8:8" ht="15.75" customHeight="1" x14ac:dyDescent="0.3">
      <c r="H439" s="27"/>
    </row>
    <row r="440" spans="8:8" ht="15.75" customHeight="1" x14ac:dyDescent="0.3">
      <c r="H440" s="27"/>
    </row>
    <row r="441" spans="8:8" ht="15.75" customHeight="1" x14ac:dyDescent="0.3">
      <c r="H441" s="27"/>
    </row>
    <row r="442" spans="8:8" ht="15.75" customHeight="1" x14ac:dyDescent="0.3">
      <c r="H442" s="27"/>
    </row>
    <row r="443" spans="8:8" ht="15.75" customHeight="1" x14ac:dyDescent="0.3">
      <c r="H443" s="27"/>
    </row>
    <row r="444" spans="8:8" ht="15.75" customHeight="1" x14ac:dyDescent="0.3">
      <c r="H444" s="27"/>
    </row>
    <row r="445" spans="8:8" ht="15.75" customHeight="1" x14ac:dyDescent="0.3">
      <c r="H445" s="27"/>
    </row>
    <row r="446" spans="8:8" ht="15.75" customHeight="1" x14ac:dyDescent="0.3">
      <c r="H446" s="27"/>
    </row>
    <row r="447" spans="8:8" ht="15.75" customHeight="1" x14ac:dyDescent="0.3">
      <c r="H447" s="27"/>
    </row>
    <row r="448" spans="8:8" ht="15.75" customHeight="1" x14ac:dyDescent="0.3">
      <c r="H448" s="27"/>
    </row>
    <row r="449" spans="8:8" ht="15.75" customHeight="1" x14ac:dyDescent="0.3">
      <c r="H449" s="27"/>
    </row>
    <row r="450" spans="8:8" ht="15.75" customHeight="1" x14ac:dyDescent="0.3">
      <c r="H450" s="27"/>
    </row>
    <row r="451" spans="8:8" ht="15.75" customHeight="1" x14ac:dyDescent="0.3">
      <c r="H451" s="27"/>
    </row>
    <row r="452" spans="8:8" ht="15.75" customHeight="1" x14ac:dyDescent="0.3">
      <c r="H452" s="27"/>
    </row>
    <row r="453" spans="8:8" ht="15.75" customHeight="1" x14ac:dyDescent="0.3">
      <c r="H453" s="27"/>
    </row>
    <row r="454" spans="8:8" ht="15.75" customHeight="1" x14ac:dyDescent="0.3">
      <c r="H454" s="27"/>
    </row>
    <row r="455" spans="8:8" ht="15.75" customHeight="1" x14ac:dyDescent="0.3">
      <c r="H455" s="27"/>
    </row>
    <row r="456" spans="8:8" ht="15.75" customHeight="1" x14ac:dyDescent="0.3">
      <c r="H456" s="27"/>
    </row>
    <row r="457" spans="8:8" ht="15.75" customHeight="1" x14ac:dyDescent="0.3">
      <c r="H457" s="27"/>
    </row>
    <row r="458" spans="8:8" ht="15.75" customHeight="1" x14ac:dyDescent="0.3">
      <c r="H458" s="27"/>
    </row>
    <row r="459" spans="8:8" ht="15.75" customHeight="1" x14ac:dyDescent="0.3">
      <c r="H459" s="27"/>
    </row>
    <row r="460" spans="8:8" ht="15.75" customHeight="1" x14ac:dyDescent="0.3">
      <c r="H460" s="27"/>
    </row>
    <row r="461" spans="8:8" ht="15.75" customHeight="1" x14ac:dyDescent="0.3">
      <c r="H461" s="27"/>
    </row>
    <row r="462" spans="8:8" ht="15.75" customHeight="1" x14ac:dyDescent="0.3">
      <c r="H462" s="27"/>
    </row>
    <row r="463" spans="8:8" ht="15.75" customHeight="1" x14ac:dyDescent="0.3">
      <c r="H463" s="27"/>
    </row>
    <row r="464" spans="8:8" ht="15.75" customHeight="1" x14ac:dyDescent="0.3">
      <c r="H464" s="27"/>
    </row>
    <row r="465" spans="8:8" ht="15.75" customHeight="1" x14ac:dyDescent="0.3">
      <c r="H465" s="27"/>
    </row>
    <row r="466" spans="8:8" ht="15.75" customHeight="1" x14ac:dyDescent="0.3">
      <c r="H466" s="27"/>
    </row>
    <row r="467" spans="8:8" ht="15.75" customHeight="1" x14ac:dyDescent="0.3">
      <c r="H467" s="27"/>
    </row>
    <row r="468" spans="8:8" ht="15.75" customHeight="1" x14ac:dyDescent="0.3">
      <c r="H468" s="27"/>
    </row>
    <row r="469" spans="8:8" ht="15.75" customHeight="1" x14ac:dyDescent="0.3">
      <c r="H469" s="27"/>
    </row>
    <row r="470" spans="8:8" ht="15.75" customHeight="1" x14ac:dyDescent="0.3">
      <c r="H470" s="27"/>
    </row>
    <row r="471" spans="8:8" ht="15.75" customHeight="1" x14ac:dyDescent="0.3">
      <c r="H471" s="27"/>
    </row>
    <row r="472" spans="8:8" ht="15.75" customHeight="1" x14ac:dyDescent="0.3">
      <c r="H472" s="27"/>
    </row>
    <row r="473" spans="8:8" ht="15.75" customHeight="1" x14ac:dyDescent="0.3">
      <c r="H473" s="27"/>
    </row>
    <row r="474" spans="8:8" ht="15.75" customHeight="1" x14ac:dyDescent="0.3">
      <c r="H474" s="27"/>
    </row>
    <row r="475" spans="8:8" ht="15.75" customHeight="1" x14ac:dyDescent="0.3">
      <c r="H475" s="27"/>
    </row>
    <row r="476" spans="8:8" ht="15.75" customHeight="1" x14ac:dyDescent="0.3">
      <c r="H476" s="27"/>
    </row>
    <row r="477" spans="8:8" ht="15.75" customHeight="1" x14ac:dyDescent="0.3">
      <c r="H477" s="27"/>
    </row>
    <row r="478" spans="8:8" ht="15.75" customHeight="1" x14ac:dyDescent="0.3">
      <c r="H478" s="27"/>
    </row>
    <row r="479" spans="8:8" ht="15.75" customHeight="1" x14ac:dyDescent="0.3">
      <c r="H479" s="27"/>
    </row>
    <row r="480" spans="8:8" ht="15.75" customHeight="1" x14ac:dyDescent="0.3">
      <c r="H480" s="27"/>
    </row>
    <row r="481" spans="8:8" ht="15.75" customHeight="1" x14ac:dyDescent="0.3">
      <c r="H481" s="27"/>
    </row>
    <row r="482" spans="8:8" ht="15.75" customHeight="1" x14ac:dyDescent="0.3">
      <c r="H482" s="27"/>
    </row>
    <row r="483" spans="8:8" ht="15.75" customHeight="1" x14ac:dyDescent="0.3">
      <c r="H483" s="27"/>
    </row>
    <row r="484" spans="8:8" ht="15.75" customHeight="1" x14ac:dyDescent="0.3">
      <c r="H484" s="27"/>
    </row>
    <row r="485" spans="8:8" ht="15.75" customHeight="1" x14ac:dyDescent="0.3">
      <c r="H485" s="27"/>
    </row>
    <row r="486" spans="8:8" ht="15.75" customHeight="1" x14ac:dyDescent="0.3">
      <c r="H486" s="27"/>
    </row>
    <row r="487" spans="8:8" ht="15.75" customHeight="1" x14ac:dyDescent="0.3">
      <c r="H487" s="27"/>
    </row>
    <row r="488" spans="8:8" ht="15.75" customHeight="1" x14ac:dyDescent="0.3">
      <c r="H488" s="27"/>
    </row>
    <row r="489" spans="8:8" ht="15.75" customHeight="1" x14ac:dyDescent="0.3">
      <c r="H489" s="27"/>
    </row>
    <row r="490" spans="8:8" ht="15.75" customHeight="1" x14ac:dyDescent="0.3">
      <c r="H490" s="27"/>
    </row>
    <row r="491" spans="8:8" ht="15.75" customHeight="1" x14ac:dyDescent="0.3">
      <c r="H491" s="27"/>
    </row>
    <row r="492" spans="8:8" ht="15.75" customHeight="1" x14ac:dyDescent="0.3">
      <c r="H492" s="27"/>
    </row>
    <row r="493" spans="8:8" ht="15.75" customHeight="1" x14ac:dyDescent="0.3">
      <c r="H493" s="27"/>
    </row>
    <row r="494" spans="8:8" ht="15.75" customHeight="1" x14ac:dyDescent="0.3">
      <c r="H494" s="27"/>
    </row>
    <row r="495" spans="8:8" ht="15.75" customHeight="1" x14ac:dyDescent="0.3">
      <c r="H495" s="27"/>
    </row>
    <row r="496" spans="8:8" ht="15.75" customHeight="1" x14ac:dyDescent="0.3">
      <c r="H496" s="27"/>
    </row>
    <row r="497" spans="8:8" ht="15.75" customHeight="1" x14ac:dyDescent="0.3">
      <c r="H497" s="27"/>
    </row>
    <row r="498" spans="8:8" ht="15.75" customHeight="1" x14ac:dyDescent="0.3">
      <c r="H498" s="27"/>
    </row>
    <row r="499" spans="8:8" ht="15.75" customHeight="1" x14ac:dyDescent="0.3">
      <c r="H499" s="27"/>
    </row>
    <row r="500" spans="8:8" ht="15.75" customHeight="1" x14ac:dyDescent="0.3">
      <c r="H500" s="27"/>
    </row>
    <row r="501" spans="8:8" ht="15.75" customHeight="1" x14ac:dyDescent="0.3">
      <c r="H501" s="27"/>
    </row>
    <row r="502" spans="8:8" ht="15.75" customHeight="1" x14ac:dyDescent="0.3">
      <c r="H502" s="27"/>
    </row>
    <row r="503" spans="8:8" ht="15.75" customHeight="1" x14ac:dyDescent="0.3">
      <c r="H503" s="27"/>
    </row>
    <row r="504" spans="8:8" ht="15.75" customHeight="1" x14ac:dyDescent="0.3">
      <c r="H504" s="27"/>
    </row>
    <row r="505" spans="8:8" ht="15.75" customHeight="1" x14ac:dyDescent="0.3">
      <c r="H505" s="27"/>
    </row>
    <row r="506" spans="8:8" ht="15.75" customHeight="1" x14ac:dyDescent="0.3">
      <c r="H506" s="27"/>
    </row>
    <row r="507" spans="8:8" ht="15.75" customHeight="1" x14ac:dyDescent="0.3">
      <c r="H507" s="27"/>
    </row>
    <row r="508" spans="8:8" ht="15.75" customHeight="1" x14ac:dyDescent="0.3">
      <c r="H508" s="27"/>
    </row>
    <row r="509" spans="8:8" ht="15.75" customHeight="1" x14ac:dyDescent="0.3">
      <c r="H509" s="27"/>
    </row>
    <row r="510" spans="8:8" ht="15.75" customHeight="1" x14ac:dyDescent="0.3">
      <c r="H510" s="27"/>
    </row>
    <row r="511" spans="8:8" ht="15.75" customHeight="1" x14ac:dyDescent="0.3">
      <c r="H511" s="27"/>
    </row>
    <row r="512" spans="8:8" ht="15.75" customHeight="1" x14ac:dyDescent="0.3">
      <c r="H512" s="27"/>
    </row>
    <row r="513" spans="8:8" ht="15.75" customHeight="1" x14ac:dyDescent="0.3">
      <c r="H513" s="27"/>
    </row>
    <row r="514" spans="8:8" ht="15.75" customHeight="1" x14ac:dyDescent="0.3">
      <c r="H514" s="27"/>
    </row>
    <row r="515" spans="8:8" ht="15.75" customHeight="1" x14ac:dyDescent="0.3">
      <c r="H515" s="27"/>
    </row>
    <row r="516" spans="8:8" ht="15.75" customHeight="1" x14ac:dyDescent="0.3">
      <c r="H516" s="27"/>
    </row>
    <row r="517" spans="8:8" ht="15.75" customHeight="1" x14ac:dyDescent="0.3">
      <c r="H517" s="27"/>
    </row>
    <row r="518" spans="8:8" ht="15.75" customHeight="1" x14ac:dyDescent="0.3">
      <c r="H518" s="27"/>
    </row>
    <row r="519" spans="8:8" ht="15.75" customHeight="1" x14ac:dyDescent="0.3">
      <c r="H519" s="27"/>
    </row>
    <row r="520" spans="8:8" ht="15.75" customHeight="1" x14ac:dyDescent="0.3">
      <c r="H520" s="27"/>
    </row>
    <row r="521" spans="8:8" ht="15.75" customHeight="1" x14ac:dyDescent="0.3">
      <c r="H521" s="27"/>
    </row>
    <row r="522" spans="8:8" ht="15.75" customHeight="1" x14ac:dyDescent="0.3">
      <c r="H522" s="27"/>
    </row>
    <row r="523" spans="8:8" ht="15.75" customHeight="1" x14ac:dyDescent="0.3">
      <c r="H523" s="27"/>
    </row>
    <row r="524" spans="8:8" ht="15.75" customHeight="1" x14ac:dyDescent="0.3">
      <c r="H524" s="27"/>
    </row>
    <row r="525" spans="8:8" ht="15.75" customHeight="1" x14ac:dyDescent="0.3">
      <c r="H525" s="27"/>
    </row>
    <row r="526" spans="8:8" ht="15.75" customHeight="1" x14ac:dyDescent="0.3">
      <c r="H526" s="27"/>
    </row>
    <row r="527" spans="8:8" ht="15.75" customHeight="1" x14ac:dyDescent="0.3">
      <c r="H527" s="27"/>
    </row>
    <row r="528" spans="8:8" ht="15.75" customHeight="1" x14ac:dyDescent="0.3">
      <c r="H528" s="27"/>
    </row>
    <row r="529" spans="8:8" ht="15.75" customHeight="1" x14ac:dyDescent="0.3">
      <c r="H529" s="27"/>
    </row>
    <row r="530" spans="8:8" ht="15.75" customHeight="1" x14ac:dyDescent="0.3">
      <c r="H530" s="27"/>
    </row>
    <row r="531" spans="8:8" ht="15.75" customHeight="1" x14ac:dyDescent="0.3">
      <c r="H531" s="27"/>
    </row>
    <row r="532" spans="8:8" ht="15.75" customHeight="1" x14ac:dyDescent="0.3">
      <c r="H532" s="27"/>
    </row>
    <row r="533" spans="8:8" ht="15.75" customHeight="1" x14ac:dyDescent="0.3">
      <c r="H533" s="27"/>
    </row>
    <row r="534" spans="8:8" ht="15.75" customHeight="1" x14ac:dyDescent="0.3">
      <c r="H534" s="27"/>
    </row>
    <row r="535" spans="8:8" ht="15.75" customHeight="1" x14ac:dyDescent="0.3">
      <c r="H535" s="27"/>
    </row>
    <row r="536" spans="8:8" ht="15.75" customHeight="1" x14ac:dyDescent="0.3">
      <c r="H536" s="27"/>
    </row>
    <row r="537" spans="8:8" ht="15.75" customHeight="1" x14ac:dyDescent="0.3">
      <c r="H537" s="27"/>
    </row>
    <row r="538" spans="8:8" ht="15.75" customHeight="1" x14ac:dyDescent="0.3">
      <c r="H538" s="27"/>
    </row>
    <row r="539" spans="8:8" ht="15.75" customHeight="1" x14ac:dyDescent="0.3">
      <c r="H539" s="27"/>
    </row>
    <row r="540" spans="8:8" ht="15.75" customHeight="1" x14ac:dyDescent="0.3">
      <c r="H540" s="27"/>
    </row>
    <row r="541" spans="8:8" ht="15.75" customHeight="1" x14ac:dyDescent="0.3">
      <c r="H541" s="27"/>
    </row>
    <row r="542" spans="8:8" ht="15.75" customHeight="1" x14ac:dyDescent="0.3">
      <c r="H542" s="27"/>
    </row>
    <row r="543" spans="8:8" ht="15.75" customHeight="1" x14ac:dyDescent="0.3">
      <c r="H543" s="27"/>
    </row>
    <row r="544" spans="8:8" ht="15.75" customHeight="1" x14ac:dyDescent="0.3">
      <c r="H544" s="27"/>
    </row>
    <row r="545" spans="8:8" ht="15.75" customHeight="1" x14ac:dyDescent="0.3">
      <c r="H545" s="27"/>
    </row>
    <row r="546" spans="8:8" ht="15.75" customHeight="1" x14ac:dyDescent="0.3">
      <c r="H546" s="27"/>
    </row>
    <row r="547" spans="8:8" ht="15.75" customHeight="1" x14ac:dyDescent="0.3">
      <c r="H547" s="27"/>
    </row>
    <row r="548" spans="8:8" ht="15.75" customHeight="1" x14ac:dyDescent="0.3">
      <c r="H548" s="27"/>
    </row>
    <row r="549" spans="8:8" ht="15.75" customHeight="1" x14ac:dyDescent="0.3">
      <c r="H549" s="27"/>
    </row>
    <row r="550" spans="8:8" ht="15.75" customHeight="1" x14ac:dyDescent="0.3">
      <c r="H550" s="27"/>
    </row>
    <row r="551" spans="8:8" ht="15.75" customHeight="1" x14ac:dyDescent="0.3">
      <c r="H551" s="27"/>
    </row>
    <row r="552" spans="8:8" ht="15.75" customHeight="1" x14ac:dyDescent="0.3">
      <c r="H552" s="27"/>
    </row>
    <row r="553" spans="8:8" ht="15.75" customHeight="1" x14ac:dyDescent="0.3">
      <c r="H553" s="27"/>
    </row>
    <row r="554" spans="8:8" ht="15.75" customHeight="1" x14ac:dyDescent="0.3">
      <c r="H554" s="27"/>
    </row>
    <row r="555" spans="8:8" ht="15.75" customHeight="1" x14ac:dyDescent="0.3">
      <c r="H555" s="27"/>
    </row>
    <row r="556" spans="8:8" ht="15.75" customHeight="1" x14ac:dyDescent="0.3">
      <c r="H556" s="27"/>
    </row>
    <row r="557" spans="8:8" ht="15.75" customHeight="1" x14ac:dyDescent="0.3">
      <c r="H557" s="27"/>
    </row>
    <row r="558" spans="8:8" ht="15.75" customHeight="1" x14ac:dyDescent="0.3">
      <c r="H558" s="27"/>
    </row>
    <row r="559" spans="8:8" ht="15.75" customHeight="1" x14ac:dyDescent="0.3">
      <c r="H559" s="27"/>
    </row>
    <row r="560" spans="8:8" ht="15.75" customHeight="1" x14ac:dyDescent="0.3">
      <c r="H560" s="27"/>
    </row>
    <row r="561" spans="8:8" ht="15.75" customHeight="1" x14ac:dyDescent="0.3">
      <c r="H561" s="27"/>
    </row>
    <row r="562" spans="8:8" ht="15.75" customHeight="1" x14ac:dyDescent="0.3">
      <c r="H562" s="27"/>
    </row>
    <row r="563" spans="8:8" ht="15.75" customHeight="1" x14ac:dyDescent="0.3">
      <c r="H563" s="27"/>
    </row>
    <row r="564" spans="8:8" ht="15.75" customHeight="1" x14ac:dyDescent="0.3">
      <c r="H564" s="27"/>
    </row>
    <row r="565" spans="8:8" ht="15.75" customHeight="1" x14ac:dyDescent="0.3">
      <c r="H565" s="27"/>
    </row>
    <row r="566" spans="8:8" ht="15.75" customHeight="1" x14ac:dyDescent="0.3">
      <c r="H566" s="27"/>
    </row>
    <row r="567" spans="8:8" ht="15.75" customHeight="1" x14ac:dyDescent="0.3">
      <c r="H567" s="27"/>
    </row>
    <row r="568" spans="8:8" ht="15.75" customHeight="1" x14ac:dyDescent="0.3">
      <c r="H568" s="27"/>
    </row>
    <row r="569" spans="8:8" ht="15.75" customHeight="1" x14ac:dyDescent="0.3">
      <c r="H569" s="27"/>
    </row>
    <row r="570" spans="8:8" ht="15.75" customHeight="1" x14ac:dyDescent="0.3">
      <c r="H570" s="27"/>
    </row>
    <row r="571" spans="8:8" ht="15.75" customHeight="1" x14ac:dyDescent="0.3">
      <c r="H571" s="27"/>
    </row>
    <row r="572" spans="8:8" ht="15.75" customHeight="1" x14ac:dyDescent="0.3">
      <c r="H572" s="27"/>
    </row>
    <row r="573" spans="8:8" ht="15.75" customHeight="1" x14ac:dyDescent="0.3">
      <c r="H573" s="27"/>
    </row>
    <row r="574" spans="8:8" ht="15.75" customHeight="1" x14ac:dyDescent="0.3">
      <c r="H574" s="27"/>
    </row>
    <row r="575" spans="8:8" ht="15.75" customHeight="1" x14ac:dyDescent="0.3">
      <c r="H575" s="27"/>
    </row>
    <row r="576" spans="8:8" ht="15.75" customHeight="1" x14ac:dyDescent="0.3">
      <c r="H576" s="27"/>
    </row>
    <row r="577" spans="8:8" ht="15.75" customHeight="1" x14ac:dyDescent="0.3">
      <c r="H577" s="27"/>
    </row>
    <row r="578" spans="8:8" ht="15.75" customHeight="1" x14ac:dyDescent="0.3">
      <c r="H578" s="27"/>
    </row>
    <row r="579" spans="8:8" ht="15.75" customHeight="1" x14ac:dyDescent="0.3">
      <c r="H579" s="27"/>
    </row>
    <row r="580" spans="8:8" ht="15.75" customHeight="1" x14ac:dyDescent="0.3">
      <c r="H580" s="27"/>
    </row>
    <row r="581" spans="8:8" ht="15.75" customHeight="1" x14ac:dyDescent="0.3">
      <c r="H581" s="27"/>
    </row>
    <row r="582" spans="8:8" ht="15.75" customHeight="1" x14ac:dyDescent="0.3">
      <c r="H582" s="27"/>
    </row>
    <row r="583" spans="8:8" ht="15.75" customHeight="1" x14ac:dyDescent="0.3">
      <c r="H583" s="27"/>
    </row>
    <row r="584" spans="8:8" ht="15.75" customHeight="1" x14ac:dyDescent="0.3">
      <c r="H584" s="27"/>
    </row>
    <row r="585" spans="8:8" ht="15.75" customHeight="1" x14ac:dyDescent="0.3">
      <c r="H585" s="27"/>
    </row>
    <row r="586" spans="8:8" ht="15.75" customHeight="1" x14ac:dyDescent="0.3">
      <c r="H586" s="27"/>
    </row>
    <row r="587" spans="8:8" ht="15.75" customHeight="1" x14ac:dyDescent="0.3">
      <c r="H587" s="27"/>
    </row>
    <row r="588" spans="8:8" ht="15.75" customHeight="1" x14ac:dyDescent="0.3">
      <c r="H588" s="27"/>
    </row>
    <row r="589" spans="8:8" ht="15.75" customHeight="1" x14ac:dyDescent="0.3">
      <c r="H589" s="27"/>
    </row>
    <row r="590" spans="8:8" ht="15.75" customHeight="1" x14ac:dyDescent="0.3">
      <c r="H590" s="27"/>
    </row>
    <row r="591" spans="8:8" ht="15.75" customHeight="1" x14ac:dyDescent="0.3">
      <c r="H591" s="27"/>
    </row>
    <row r="592" spans="8:8" ht="15.75" customHeight="1" x14ac:dyDescent="0.3">
      <c r="H592" s="27"/>
    </row>
    <row r="593" spans="8:8" ht="15.75" customHeight="1" x14ac:dyDescent="0.3">
      <c r="H593" s="27"/>
    </row>
    <row r="594" spans="8:8" ht="15.75" customHeight="1" x14ac:dyDescent="0.3">
      <c r="H594" s="27"/>
    </row>
    <row r="595" spans="8:8" ht="15.75" customHeight="1" x14ac:dyDescent="0.3">
      <c r="H595" s="27"/>
    </row>
    <row r="596" spans="8:8" ht="15.75" customHeight="1" x14ac:dyDescent="0.3">
      <c r="H596" s="27"/>
    </row>
    <row r="597" spans="8:8" ht="15.75" customHeight="1" x14ac:dyDescent="0.3">
      <c r="H597" s="27"/>
    </row>
    <row r="598" spans="8:8" ht="15.75" customHeight="1" x14ac:dyDescent="0.3">
      <c r="H598" s="27"/>
    </row>
    <row r="599" spans="8:8" ht="15.75" customHeight="1" x14ac:dyDescent="0.3">
      <c r="H599" s="27"/>
    </row>
    <row r="600" spans="8:8" ht="15.75" customHeight="1" x14ac:dyDescent="0.3">
      <c r="H600" s="27"/>
    </row>
    <row r="601" spans="8:8" ht="15.75" customHeight="1" x14ac:dyDescent="0.3">
      <c r="H601" s="27"/>
    </row>
    <row r="602" spans="8:8" ht="15.75" customHeight="1" x14ac:dyDescent="0.3">
      <c r="H602" s="27"/>
    </row>
    <row r="603" spans="8:8" ht="15.75" customHeight="1" x14ac:dyDescent="0.3">
      <c r="H603" s="27"/>
    </row>
    <row r="604" spans="8:8" ht="15.75" customHeight="1" x14ac:dyDescent="0.3">
      <c r="H604" s="27"/>
    </row>
    <row r="605" spans="8:8" ht="15.75" customHeight="1" x14ac:dyDescent="0.3">
      <c r="H605" s="27"/>
    </row>
    <row r="606" spans="8:8" ht="15.75" customHeight="1" x14ac:dyDescent="0.3">
      <c r="H606" s="27"/>
    </row>
    <row r="607" spans="8:8" ht="15.75" customHeight="1" x14ac:dyDescent="0.3">
      <c r="H607" s="27"/>
    </row>
    <row r="608" spans="8:8" ht="15.75" customHeight="1" x14ac:dyDescent="0.3">
      <c r="H608" s="27"/>
    </row>
    <row r="609" spans="8:8" ht="15.75" customHeight="1" x14ac:dyDescent="0.3">
      <c r="H609" s="27"/>
    </row>
    <row r="610" spans="8:8" ht="15.75" customHeight="1" x14ac:dyDescent="0.3">
      <c r="H610" s="27"/>
    </row>
    <row r="611" spans="8:8" ht="15.75" customHeight="1" x14ac:dyDescent="0.3">
      <c r="H611" s="27"/>
    </row>
    <row r="612" spans="8:8" ht="15.75" customHeight="1" x14ac:dyDescent="0.3">
      <c r="H612" s="27"/>
    </row>
    <row r="613" spans="8:8" ht="15.75" customHeight="1" x14ac:dyDescent="0.3">
      <c r="H613" s="27"/>
    </row>
    <row r="614" spans="8:8" ht="15.75" customHeight="1" x14ac:dyDescent="0.3">
      <c r="H614" s="27"/>
    </row>
    <row r="615" spans="8:8" ht="15.75" customHeight="1" x14ac:dyDescent="0.3">
      <c r="H615" s="27"/>
    </row>
    <row r="616" spans="8:8" ht="15.75" customHeight="1" x14ac:dyDescent="0.3">
      <c r="H616" s="27"/>
    </row>
    <row r="617" spans="8:8" ht="15.75" customHeight="1" x14ac:dyDescent="0.3">
      <c r="H617" s="27"/>
    </row>
    <row r="618" spans="8:8" ht="15.75" customHeight="1" x14ac:dyDescent="0.3">
      <c r="H618" s="27"/>
    </row>
    <row r="619" spans="8:8" ht="15.75" customHeight="1" x14ac:dyDescent="0.3">
      <c r="H619" s="27"/>
    </row>
    <row r="620" spans="8:8" ht="15.75" customHeight="1" x14ac:dyDescent="0.3">
      <c r="H620" s="27"/>
    </row>
    <row r="621" spans="8:8" ht="15.75" customHeight="1" x14ac:dyDescent="0.3">
      <c r="H621" s="27"/>
    </row>
    <row r="622" spans="8:8" ht="15.75" customHeight="1" x14ac:dyDescent="0.3">
      <c r="H622" s="27"/>
    </row>
    <row r="623" spans="8:8" ht="15.75" customHeight="1" x14ac:dyDescent="0.3">
      <c r="H623" s="27"/>
    </row>
    <row r="624" spans="8:8" ht="15.75" customHeight="1" x14ac:dyDescent="0.3">
      <c r="H624" s="27"/>
    </row>
    <row r="625" spans="8:8" ht="15.75" customHeight="1" x14ac:dyDescent="0.3">
      <c r="H625" s="27"/>
    </row>
    <row r="626" spans="8:8" ht="15.75" customHeight="1" x14ac:dyDescent="0.3">
      <c r="H626" s="27"/>
    </row>
    <row r="627" spans="8:8" ht="15.75" customHeight="1" x14ac:dyDescent="0.3">
      <c r="H627" s="27"/>
    </row>
    <row r="628" spans="8:8" ht="15.75" customHeight="1" x14ac:dyDescent="0.3">
      <c r="H628" s="27"/>
    </row>
    <row r="629" spans="8:8" ht="15.75" customHeight="1" x14ac:dyDescent="0.3">
      <c r="H629" s="27"/>
    </row>
    <row r="630" spans="8:8" ht="15.75" customHeight="1" x14ac:dyDescent="0.3">
      <c r="H630" s="27"/>
    </row>
    <row r="631" spans="8:8" ht="15.75" customHeight="1" x14ac:dyDescent="0.3">
      <c r="H631" s="27"/>
    </row>
    <row r="632" spans="8:8" ht="15.75" customHeight="1" x14ac:dyDescent="0.3">
      <c r="H632" s="27"/>
    </row>
    <row r="633" spans="8:8" ht="15.75" customHeight="1" x14ac:dyDescent="0.3">
      <c r="H633" s="27"/>
    </row>
    <row r="634" spans="8:8" ht="15.75" customHeight="1" x14ac:dyDescent="0.3">
      <c r="H634" s="27"/>
    </row>
    <row r="635" spans="8:8" ht="15.75" customHeight="1" x14ac:dyDescent="0.3">
      <c r="H635" s="27"/>
    </row>
    <row r="636" spans="8:8" ht="15.75" customHeight="1" x14ac:dyDescent="0.3">
      <c r="H636" s="27"/>
    </row>
    <row r="637" spans="8:8" ht="15.75" customHeight="1" x14ac:dyDescent="0.3">
      <c r="H637" s="27"/>
    </row>
    <row r="638" spans="8:8" ht="15.75" customHeight="1" x14ac:dyDescent="0.3">
      <c r="H638" s="27"/>
    </row>
    <row r="639" spans="8:8" ht="15.75" customHeight="1" x14ac:dyDescent="0.3">
      <c r="H639" s="27"/>
    </row>
    <row r="640" spans="8:8" ht="15.75" customHeight="1" x14ac:dyDescent="0.3">
      <c r="H640" s="27"/>
    </row>
    <row r="641" spans="8:8" ht="15.75" customHeight="1" x14ac:dyDescent="0.3">
      <c r="H641" s="27"/>
    </row>
    <row r="642" spans="8:8" ht="15.75" customHeight="1" x14ac:dyDescent="0.3">
      <c r="H642" s="27"/>
    </row>
    <row r="643" spans="8:8" ht="15.75" customHeight="1" x14ac:dyDescent="0.3">
      <c r="H643" s="27"/>
    </row>
    <row r="644" spans="8:8" ht="15.75" customHeight="1" x14ac:dyDescent="0.3">
      <c r="H644" s="27"/>
    </row>
    <row r="645" spans="8:8" ht="15.75" customHeight="1" x14ac:dyDescent="0.3">
      <c r="H645" s="27"/>
    </row>
    <row r="646" spans="8:8" ht="15.75" customHeight="1" x14ac:dyDescent="0.3">
      <c r="H646" s="27"/>
    </row>
    <row r="647" spans="8:8" ht="15.75" customHeight="1" x14ac:dyDescent="0.3">
      <c r="H647" s="27"/>
    </row>
    <row r="648" spans="8:8" ht="15.75" customHeight="1" x14ac:dyDescent="0.3">
      <c r="H648" s="27"/>
    </row>
    <row r="649" spans="8:8" ht="15.75" customHeight="1" x14ac:dyDescent="0.3">
      <c r="H649" s="27"/>
    </row>
    <row r="650" spans="8:8" ht="15.75" customHeight="1" x14ac:dyDescent="0.3">
      <c r="H650" s="27"/>
    </row>
    <row r="651" spans="8:8" ht="15.75" customHeight="1" x14ac:dyDescent="0.3">
      <c r="H651" s="27"/>
    </row>
    <row r="652" spans="8:8" ht="15.75" customHeight="1" x14ac:dyDescent="0.3">
      <c r="H652" s="27"/>
    </row>
    <row r="653" spans="8:8" ht="15.75" customHeight="1" x14ac:dyDescent="0.3">
      <c r="H653" s="27"/>
    </row>
    <row r="654" spans="8:8" ht="15.75" customHeight="1" x14ac:dyDescent="0.3">
      <c r="H654" s="27"/>
    </row>
    <row r="655" spans="8:8" ht="15.75" customHeight="1" x14ac:dyDescent="0.3">
      <c r="H655" s="27"/>
    </row>
    <row r="656" spans="8:8" ht="15.75" customHeight="1" x14ac:dyDescent="0.3">
      <c r="H656" s="27"/>
    </row>
    <row r="657" spans="8:8" ht="15.75" customHeight="1" x14ac:dyDescent="0.3">
      <c r="H657" s="27"/>
    </row>
    <row r="658" spans="8:8" ht="15.75" customHeight="1" x14ac:dyDescent="0.3">
      <c r="H658" s="27"/>
    </row>
    <row r="659" spans="8:8" ht="15.75" customHeight="1" x14ac:dyDescent="0.3">
      <c r="H659" s="27"/>
    </row>
    <row r="660" spans="8:8" ht="15.75" customHeight="1" x14ac:dyDescent="0.3">
      <c r="H660" s="27"/>
    </row>
    <row r="661" spans="8:8" ht="15.75" customHeight="1" x14ac:dyDescent="0.3">
      <c r="H661" s="27"/>
    </row>
    <row r="662" spans="8:8" ht="15.75" customHeight="1" x14ac:dyDescent="0.3">
      <c r="H662" s="27"/>
    </row>
    <row r="663" spans="8:8" ht="15.75" customHeight="1" x14ac:dyDescent="0.3">
      <c r="H663" s="27"/>
    </row>
    <row r="664" spans="8:8" ht="15.75" customHeight="1" x14ac:dyDescent="0.3">
      <c r="H664" s="27"/>
    </row>
    <row r="665" spans="8:8" ht="15.75" customHeight="1" x14ac:dyDescent="0.3">
      <c r="H665" s="27"/>
    </row>
    <row r="666" spans="8:8" ht="15.75" customHeight="1" x14ac:dyDescent="0.3">
      <c r="H666" s="27"/>
    </row>
    <row r="667" spans="8:8" ht="15.75" customHeight="1" x14ac:dyDescent="0.3">
      <c r="H667" s="27"/>
    </row>
    <row r="668" spans="8:8" ht="15.75" customHeight="1" x14ac:dyDescent="0.3">
      <c r="H668" s="27"/>
    </row>
    <row r="669" spans="8:8" ht="15.75" customHeight="1" x14ac:dyDescent="0.3">
      <c r="H669" s="27"/>
    </row>
    <row r="670" spans="8:8" ht="15.75" customHeight="1" x14ac:dyDescent="0.3">
      <c r="H670" s="27"/>
    </row>
    <row r="671" spans="8:8" ht="15.75" customHeight="1" x14ac:dyDescent="0.3">
      <c r="H671" s="27"/>
    </row>
    <row r="672" spans="8:8" ht="15.75" customHeight="1" x14ac:dyDescent="0.3">
      <c r="H672" s="27"/>
    </row>
    <row r="673" spans="8:8" ht="15.75" customHeight="1" x14ac:dyDescent="0.3">
      <c r="H673" s="27"/>
    </row>
    <row r="674" spans="8:8" ht="15.75" customHeight="1" x14ac:dyDescent="0.3">
      <c r="H674" s="27"/>
    </row>
    <row r="675" spans="8:8" ht="15.75" customHeight="1" x14ac:dyDescent="0.3">
      <c r="H675" s="27"/>
    </row>
    <row r="676" spans="8:8" ht="15.75" customHeight="1" x14ac:dyDescent="0.3">
      <c r="H676" s="27"/>
    </row>
    <row r="677" spans="8:8" ht="15.75" customHeight="1" x14ac:dyDescent="0.3">
      <c r="H677" s="27"/>
    </row>
    <row r="678" spans="8:8" ht="15.75" customHeight="1" x14ac:dyDescent="0.3">
      <c r="H678" s="27"/>
    </row>
    <row r="679" spans="8:8" ht="15.75" customHeight="1" x14ac:dyDescent="0.3">
      <c r="H679" s="27"/>
    </row>
    <row r="680" spans="8:8" ht="15.75" customHeight="1" x14ac:dyDescent="0.3">
      <c r="H680" s="27"/>
    </row>
    <row r="681" spans="8:8" ht="15.75" customHeight="1" x14ac:dyDescent="0.3">
      <c r="H681" s="27"/>
    </row>
    <row r="682" spans="8:8" ht="15.75" customHeight="1" x14ac:dyDescent="0.3">
      <c r="H682" s="27"/>
    </row>
    <row r="683" spans="8:8" ht="15.75" customHeight="1" x14ac:dyDescent="0.3">
      <c r="H683" s="27"/>
    </row>
    <row r="684" spans="8:8" ht="15.75" customHeight="1" x14ac:dyDescent="0.3">
      <c r="H684" s="27"/>
    </row>
    <row r="685" spans="8:8" ht="15.75" customHeight="1" x14ac:dyDescent="0.3">
      <c r="H685" s="27"/>
    </row>
    <row r="686" spans="8:8" ht="15.75" customHeight="1" x14ac:dyDescent="0.3">
      <c r="H686" s="27"/>
    </row>
    <row r="687" spans="8:8" ht="15.75" customHeight="1" x14ac:dyDescent="0.3">
      <c r="H687" s="27"/>
    </row>
    <row r="688" spans="8:8" ht="15.75" customHeight="1" x14ac:dyDescent="0.3">
      <c r="H688" s="27"/>
    </row>
    <row r="689" spans="8:8" ht="15.75" customHeight="1" x14ac:dyDescent="0.3">
      <c r="H689" s="27"/>
    </row>
    <row r="690" spans="8:8" ht="15.75" customHeight="1" x14ac:dyDescent="0.3">
      <c r="H690" s="27"/>
    </row>
    <row r="691" spans="8:8" ht="15.75" customHeight="1" x14ac:dyDescent="0.3">
      <c r="H691" s="27"/>
    </row>
    <row r="692" spans="8:8" ht="15.75" customHeight="1" x14ac:dyDescent="0.3">
      <c r="H692" s="27"/>
    </row>
    <row r="693" spans="8:8" ht="15.75" customHeight="1" x14ac:dyDescent="0.3">
      <c r="H693" s="27"/>
    </row>
    <row r="694" spans="8:8" ht="15.75" customHeight="1" x14ac:dyDescent="0.3">
      <c r="H694" s="27"/>
    </row>
    <row r="695" spans="8:8" ht="15.75" customHeight="1" x14ac:dyDescent="0.3">
      <c r="H695" s="27"/>
    </row>
    <row r="696" spans="8:8" ht="15.75" customHeight="1" x14ac:dyDescent="0.3">
      <c r="H696" s="27"/>
    </row>
    <row r="697" spans="8:8" ht="15.75" customHeight="1" x14ac:dyDescent="0.3">
      <c r="H697" s="27"/>
    </row>
    <row r="698" spans="8:8" ht="15.75" customHeight="1" x14ac:dyDescent="0.3">
      <c r="H698" s="27"/>
    </row>
    <row r="699" spans="8:8" ht="15.75" customHeight="1" x14ac:dyDescent="0.3">
      <c r="H699" s="27"/>
    </row>
    <row r="700" spans="8:8" ht="15.75" customHeight="1" x14ac:dyDescent="0.3">
      <c r="H700" s="27"/>
    </row>
    <row r="701" spans="8:8" ht="15.75" customHeight="1" x14ac:dyDescent="0.3">
      <c r="H701" s="27"/>
    </row>
    <row r="702" spans="8:8" ht="15.75" customHeight="1" x14ac:dyDescent="0.3">
      <c r="H702" s="27"/>
    </row>
    <row r="703" spans="8:8" ht="15.75" customHeight="1" x14ac:dyDescent="0.3">
      <c r="H703" s="27"/>
    </row>
    <row r="704" spans="8:8" ht="15.75" customHeight="1" x14ac:dyDescent="0.3">
      <c r="H704" s="27"/>
    </row>
    <row r="705" spans="8:8" ht="15.75" customHeight="1" x14ac:dyDescent="0.3">
      <c r="H705" s="27"/>
    </row>
    <row r="706" spans="8:8" ht="15.75" customHeight="1" x14ac:dyDescent="0.3">
      <c r="H706" s="27"/>
    </row>
    <row r="707" spans="8:8" ht="15.75" customHeight="1" x14ac:dyDescent="0.3">
      <c r="H707" s="27"/>
    </row>
    <row r="708" spans="8:8" ht="15.75" customHeight="1" x14ac:dyDescent="0.3">
      <c r="H708" s="27"/>
    </row>
    <row r="709" spans="8:8" ht="15.75" customHeight="1" x14ac:dyDescent="0.3">
      <c r="H709" s="27"/>
    </row>
    <row r="710" spans="8:8" ht="15.75" customHeight="1" x14ac:dyDescent="0.3">
      <c r="H710" s="27"/>
    </row>
    <row r="711" spans="8:8" ht="15.75" customHeight="1" x14ac:dyDescent="0.3">
      <c r="H711" s="27"/>
    </row>
    <row r="712" spans="8:8" ht="15.75" customHeight="1" x14ac:dyDescent="0.3">
      <c r="H712" s="27"/>
    </row>
    <row r="713" spans="8:8" ht="15.75" customHeight="1" x14ac:dyDescent="0.3">
      <c r="H713" s="27"/>
    </row>
    <row r="714" spans="8:8" ht="15.75" customHeight="1" x14ac:dyDescent="0.3">
      <c r="H714" s="27"/>
    </row>
    <row r="715" spans="8:8" ht="15.75" customHeight="1" x14ac:dyDescent="0.3">
      <c r="H715" s="27"/>
    </row>
    <row r="716" spans="8:8" ht="15.75" customHeight="1" x14ac:dyDescent="0.3">
      <c r="H716" s="27"/>
    </row>
    <row r="717" spans="8:8" ht="15.75" customHeight="1" x14ac:dyDescent="0.3">
      <c r="H717" s="27"/>
    </row>
    <row r="718" spans="8:8" ht="15.75" customHeight="1" x14ac:dyDescent="0.3">
      <c r="H718" s="27"/>
    </row>
    <row r="719" spans="8:8" ht="15.75" customHeight="1" x14ac:dyDescent="0.3">
      <c r="H719" s="27"/>
    </row>
    <row r="720" spans="8:8" ht="15.75" customHeight="1" x14ac:dyDescent="0.3">
      <c r="H720" s="27"/>
    </row>
    <row r="721" spans="1:8" ht="15.75" customHeight="1" x14ac:dyDescent="0.3">
      <c r="H721" s="27"/>
    </row>
    <row r="722" spans="1:8" ht="15.75" customHeight="1" x14ac:dyDescent="0.3">
      <c r="H722" s="27"/>
    </row>
    <row r="723" spans="1:8" ht="15.75" customHeight="1" x14ac:dyDescent="0.3">
      <c r="H723" s="27"/>
    </row>
    <row r="724" spans="1:8" ht="15.75" customHeight="1" x14ac:dyDescent="0.3">
      <c r="H724" s="27"/>
    </row>
    <row r="725" spans="1:8" ht="15.75" customHeight="1" x14ac:dyDescent="0.3">
      <c r="H725" s="27"/>
    </row>
    <row r="726" spans="1:8" ht="15.75" customHeight="1" x14ac:dyDescent="0.3">
      <c r="H726" s="27"/>
    </row>
    <row r="727" spans="1:8" ht="15.75" customHeight="1" x14ac:dyDescent="0.3">
      <c r="H727" s="27"/>
    </row>
    <row r="728" spans="1:8" ht="15.75" customHeight="1" x14ac:dyDescent="0.3">
      <c r="H728" s="27"/>
    </row>
    <row r="729" spans="1:8" ht="15.75" customHeight="1" x14ac:dyDescent="0.3">
      <c r="H729" s="27"/>
    </row>
    <row r="730" spans="1:8" ht="15.75" customHeight="1" x14ac:dyDescent="0.3">
      <c r="H730" s="27"/>
    </row>
    <row r="731" spans="1:8" ht="15.75" customHeight="1" x14ac:dyDescent="0.3">
      <c r="H731" s="27"/>
    </row>
    <row r="732" spans="1:8" ht="15.75" customHeight="1" x14ac:dyDescent="0.3">
      <c r="H732" s="27"/>
    </row>
    <row r="733" spans="1:8" ht="15.75" customHeight="1" x14ac:dyDescent="0.3">
      <c r="H733" s="27"/>
    </row>
    <row r="734" spans="1:8" ht="15.75" customHeight="1" x14ac:dyDescent="0.3">
      <c r="A734" s="26"/>
      <c r="B734" s="27"/>
      <c r="C734" s="27"/>
      <c r="D734" s="27"/>
      <c r="E734" s="27"/>
      <c r="F734" s="27"/>
      <c r="G734" s="27"/>
      <c r="H734" s="27"/>
    </row>
    <row r="735" spans="1:8" ht="15.75" customHeight="1" x14ac:dyDescent="0.3">
      <c r="A735" s="26"/>
      <c r="B735" s="27"/>
      <c r="C735" s="27"/>
      <c r="D735" s="27"/>
      <c r="E735" s="27"/>
      <c r="F735" s="27"/>
      <c r="G735" s="27"/>
      <c r="H735" s="27"/>
    </row>
    <row r="736" spans="1:8" ht="15.75" customHeight="1" x14ac:dyDescent="0.3">
      <c r="A736" s="26"/>
      <c r="B736" s="27"/>
      <c r="C736" s="27"/>
      <c r="D736" s="27"/>
      <c r="E736" s="27"/>
      <c r="F736" s="27"/>
      <c r="G736" s="27"/>
      <c r="H736" s="27"/>
    </row>
    <row r="737" spans="1:8" ht="15.75" customHeight="1" x14ac:dyDescent="0.3">
      <c r="A737" s="26"/>
      <c r="B737" s="27"/>
      <c r="C737" s="27"/>
      <c r="D737" s="27"/>
      <c r="E737" s="27"/>
      <c r="F737" s="27"/>
      <c r="G737" s="27"/>
      <c r="H737" s="27"/>
    </row>
    <row r="738" spans="1:8" ht="15.75" customHeight="1" x14ac:dyDescent="0.3">
      <c r="A738" s="26"/>
      <c r="B738" s="27"/>
      <c r="C738" s="27"/>
      <c r="D738" s="27"/>
      <c r="E738" s="27"/>
      <c r="F738" s="27"/>
      <c r="G738" s="27"/>
      <c r="H738" s="27"/>
    </row>
    <row r="739" spans="1:8" ht="15.75" customHeight="1" x14ac:dyDescent="0.3">
      <c r="A739" s="26"/>
      <c r="B739" s="27"/>
      <c r="C739" s="27"/>
      <c r="D739" s="27"/>
      <c r="E739" s="27"/>
      <c r="F739" s="27"/>
      <c r="G739" s="27"/>
      <c r="H739" s="27"/>
    </row>
    <row r="740" spans="1:8" ht="15.75" customHeight="1" x14ac:dyDescent="0.3">
      <c r="A740" s="26"/>
      <c r="B740" s="27"/>
      <c r="C740" s="27"/>
      <c r="D740" s="27"/>
      <c r="E740" s="27"/>
      <c r="F740" s="27"/>
      <c r="G740" s="27"/>
      <c r="H740" s="27"/>
    </row>
    <row r="741" spans="1:8" ht="15.75" customHeight="1" x14ac:dyDescent="0.3">
      <c r="A741" s="26"/>
      <c r="B741" s="27"/>
      <c r="C741" s="27"/>
      <c r="D741" s="27"/>
      <c r="E741" s="27"/>
      <c r="F741" s="27"/>
      <c r="G741" s="27"/>
      <c r="H741" s="27"/>
    </row>
    <row r="742" spans="1:8" ht="15.75" customHeight="1" x14ac:dyDescent="0.3">
      <c r="A742" s="26"/>
      <c r="B742" s="27"/>
      <c r="C742" s="27"/>
      <c r="D742" s="27"/>
      <c r="E742" s="27"/>
      <c r="F742" s="27"/>
      <c r="G742" s="27"/>
      <c r="H742" s="27"/>
    </row>
    <row r="743" spans="1:8" ht="15.75" customHeight="1" x14ac:dyDescent="0.3">
      <c r="A743" s="26"/>
      <c r="B743" s="27"/>
      <c r="C743" s="27"/>
      <c r="D743" s="27"/>
      <c r="E743" s="27"/>
      <c r="F743" s="27"/>
      <c r="G743" s="27"/>
      <c r="H743" s="27"/>
    </row>
    <row r="744" spans="1:8" ht="15.75" customHeight="1" x14ac:dyDescent="0.3">
      <c r="A744" s="26"/>
      <c r="B744" s="27"/>
      <c r="C744" s="27"/>
      <c r="D744" s="27"/>
      <c r="E744" s="27"/>
      <c r="F744" s="27"/>
      <c r="G744" s="27"/>
      <c r="H744" s="27"/>
    </row>
    <row r="745" spans="1:8" ht="15.75" customHeight="1" x14ac:dyDescent="0.3">
      <c r="A745" s="26"/>
      <c r="B745" s="27"/>
      <c r="C745" s="27"/>
      <c r="D745" s="27"/>
      <c r="E745" s="27"/>
      <c r="F745" s="27"/>
      <c r="G745" s="27"/>
      <c r="H745" s="27"/>
    </row>
    <row r="746" spans="1:8" ht="15.75" customHeight="1" x14ac:dyDescent="0.3">
      <c r="A746" s="26"/>
      <c r="B746" s="27"/>
      <c r="C746" s="27"/>
      <c r="D746" s="27"/>
      <c r="E746" s="27"/>
      <c r="F746" s="27"/>
      <c r="G746" s="27"/>
      <c r="H746" s="27"/>
    </row>
    <row r="747" spans="1:8" ht="15.75" customHeight="1" x14ac:dyDescent="0.3">
      <c r="A747" s="26"/>
      <c r="B747" s="27"/>
      <c r="C747" s="27"/>
      <c r="D747" s="27"/>
      <c r="E747" s="27"/>
      <c r="F747" s="27"/>
      <c r="G747" s="27"/>
      <c r="H747" s="27"/>
    </row>
    <row r="748" spans="1:8" ht="15.75" customHeight="1" x14ac:dyDescent="0.3">
      <c r="A748" s="26"/>
      <c r="B748" s="27"/>
      <c r="C748" s="27"/>
      <c r="D748" s="27"/>
      <c r="E748" s="27"/>
      <c r="F748" s="27"/>
      <c r="G748" s="27"/>
      <c r="H748" s="27"/>
    </row>
    <row r="749" spans="1:8" ht="15.75" customHeight="1" x14ac:dyDescent="0.3">
      <c r="A749" s="26"/>
      <c r="B749" s="27"/>
      <c r="C749" s="27"/>
      <c r="D749" s="27"/>
      <c r="E749" s="27"/>
      <c r="F749" s="27"/>
      <c r="G749" s="27"/>
      <c r="H749" s="27"/>
    </row>
    <row r="750" spans="1:8" ht="15.75" customHeight="1" x14ac:dyDescent="0.3">
      <c r="A750" s="26"/>
      <c r="B750" s="27"/>
      <c r="C750" s="27"/>
      <c r="D750" s="27"/>
      <c r="E750" s="27"/>
      <c r="F750" s="27"/>
      <c r="G750" s="27"/>
      <c r="H750" s="27"/>
    </row>
    <row r="751" spans="1:8" ht="15.75" customHeight="1" x14ac:dyDescent="0.3">
      <c r="A751" s="26"/>
      <c r="B751" s="27"/>
      <c r="C751" s="27"/>
      <c r="D751" s="27"/>
      <c r="E751" s="27"/>
      <c r="F751" s="27"/>
      <c r="G751" s="27"/>
      <c r="H751" s="27"/>
    </row>
    <row r="752" spans="1:8" ht="15.75" customHeight="1" x14ac:dyDescent="0.3">
      <c r="A752" s="26"/>
      <c r="B752" s="27"/>
      <c r="C752" s="27"/>
      <c r="D752" s="27"/>
      <c r="E752" s="27"/>
      <c r="F752" s="27"/>
      <c r="G752" s="27"/>
      <c r="H752" s="27"/>
    </row>
    <row r="753" spans="1:8" ht="15.75" customHeight="1" x14ac:dyDescent="0.3">
      <c r="A753" s="26"/>
      <c r="B753" s="27"/>
      <c r="C753" s="27"/>
      <c r="D753" s="27"/>
      <c r="E753" s="27"/>
      <c r="F753" s="27"/>
      <c r="G753" s="27"/>
      <c r="H753" s="27"/>
    </row>
    <row r="754" spans="1:8" ht="15.75" customHeight="1" x14ac:dyDescent="0.3">
      <c r="A754" s="26"/>
      <c r="B754" s="27"/>
      <c r="C754" s="27"/>
      <c r="D754" s="27"/>
      <c r="E754" s="27"/>
      <c r="F754" s="27"/>
      <c r="G754" s="27"/>
      <c r="H754" s="27"/>
    </row>
    <row r="755" spans="1:8" ht="15.75" customHeight="1" x14ac:dyDescent="0.3">
      <c r="A755" s="26"/>
      <c r="B755" s="27"/>
      <c r="C755" s="27"/>
      <c r="D755" s="27"/>
      <c r="E755" s="27"/>
      <c r="F755" s="27"/>
      <c r="G755" s="27"/>
      <c r="H755" s="27"/>
    </row>
    <row r="756" spans="1:8" ht="15.75" customHeight="1" x14ac:dyDescent="0.3">
      <c r="A756" s="26"/>
      <c r="B756" s="27"/>
      <c r="C756" s="27"/>
      <c r="D756" s="27"/>
      <c r="E756" s="27"/>
      <c r="F756" s="27"/>
      <c r="G756" s="27"/>
      <c r="H756" s="27"/>
    </row>
    <row r="757" spans="1:8" ht="15.75" customHeight="1" x14ac:dyDescent="0.3">
      <c r="A757" s="26"/>
      <c r="B757" s="27"/>
      <c r="C757" s="27"/>
      <c r="D757" s="27"/>
      <c r="E757" s="27"/>
      <c r="F757" s="27"/>
      <c r="G757" s="27"/>
      <c r="H757" s="27"/>
    </row>
    <row r="758" spans="1:8" ht="15.75" customHeight="1" x14ac:dyDescent="0.3">
      <c r="A758" s="26"/>
      <c r="B758" s="27"/>
      <c r="C758" s="27"/>
      <c r="D758" s="27"/>
      <c r="E758" s="27"/>
      <c r="F758" s="27"/>
      <c r="G758" s="27"/>
      <c r="H758" s="27"/>
    </row>
    <row r="759" spans="1:8" ht="15.75" customHeight="1" x14ac:dyDescent="0.3">
      <c r="A759" s="26"/>
      <c r="B759" s="27"/>
      <c r="C759" s="27"/>
      <c r="D759" s="27"/>
      <c r="E759" s="27"/>
      <c r="F759" s="27"/>
      <c r="G759" s="27"/>
      <c r="H759" s="27"/>
    </row>
    <row r="760" spans="1:8" ht="15.75" customHeight="1" x14ac:dyDescent="0.3">
      <c r="A760" s="26"/>
      <c r="B760" s="27"/>
      <c r="C760" s="27"/>
      <c r="D760" s="27"/>
      <c r="E760" s="27"/>
      <c r="F760" s="27"/>
      <c r="G760" s="27"/>
      <c r="H760" s="27"/>
    </row>
    <row r="761" spans="1:8" ht="15.75" customHeight="1" x14ac:dyDescent="0.3">
      <c r="A761" s="26"/>
      <c r="B761" s="27"/>
      <c r="C761" s="27"/>
      <c r="D761" s="27"/>
      <c r="E761" s="27"/>
      <c r="F761" s="27"/>
      <c r="G761" s="27"/>
      <c r="H761" s="27"/>
    </row>
    <row r="762" spans="1:8" ht="15.75" customHeight="1" x14ac:dyDescent="0.3">
      <c r="A762" s="26"/>
      <c r="B762" s="27"/>
      <c r="C762" s="27"/>
      <c r="D762" s="27"/>
      <c r="E762" s="27"/>
      <c r="F762" s="27"/>
      <c r="G762" s="27"/>
      <c r="H762" s="27"/>
    </row>
    <row r="763" spans="1:8" ht="15.75" customHeight="1" x14ac:dyDescent="0.3">
      <c r="A763" s="26"/>
      <c r="B763" s="27"/>
      <c r="C763" s="27"/>
      <c r="D763" s="27"/>
      <c r="E763" s="27"/>
      <c r="F763" s="27"/>
      <c r="G763" s="27"/>
      <c r="H763" s="27"/>
    </row>
    <row r="764" spans="1:8" ht="15.75" customHeight="1" x14ac:dyDescent="0.3">
      <c r="A764" s="26"/>
      <c r="B764" s="27"/>
      <c r="C764" s="27"/>
      <c r="D764" s="27"/>
      <c r="E764" s="27"/>
      <c r="F764" s="27"/>
      <c r="G764" s="27"/>
      <c r="H764" s="27"/>
    </row>
    <row r="765" spans="1:8" ht="15.75" customHeight="1" x14ac:dyDescent="0.3">
      <c r="A765" s="26"/>
      <c r="B765" s="27"/>
      <c r="C765" s="27"/>
      <c r="D765" s="27"/>
      <c r="E765" s="27"/>
      <c r="F765" s="27"/>
      <c r="G765" s="27"/>
      <c r="H765" s="27"/>
    </row>
    <row r="766" spans="1:8" ht="15.75" customHeight="1" x14ac:dyDescent="0.3">
      <c r="A766" s="26"/>
      <c r="B766" s="27"/>
      <c r="C766" s="27"/>
      <c r="D766" s="27"/>
      <c r="E766" s="27"/>
      <c r="F766" s="27"/>
      <c r="G766" s="27"/>
      <c r="H766" s="27"/>
    </row>
    <row r="767" spans="1:8" ht="15.75" customHeight="1" x14ac:dyDescent="0.3">
      <c r="A767" s="26"/>
      <c r="B767" s="27"/>
      <c r="C767" s="27"/>
      <c r="D767" s="27"/>
      <c r="E767" s="27"/>
      <c r="F767" s="27"/>
      <c r="G767" s="27"/>
      <c r="H767" s="27"/>
    </row>
    <row r="768" spans="1:8" ht="15.75" customHeight="1" x14ac:dyDescent="0.3">
      <c r="A768" s="26"/>
      <c r="B768" s="27"/>
      <c r="C768" s="27"/>
      <c r="D768" s="27"/>
      <c r="E768" s="27"/>
      <c r="F768" s="27"/>
      <c r="G768" s="27"/>
      <c r="H768" s="27"/>
    </row>
    <row r="769" spans="1:8" ht="15.75" customHeight="1" x14ac:dyDescent="0.3">
      <c r="A769" s="26"/>
      <c r="B769" s="27"/>
      <c r="C769" s="27"/>
      <c r="D769" s="27"/>
      <c r="E769" s="27"/>
      <c r="F769" s="27"/>
      <c r="G769" s="27"/>
      <c r="H769" s="27"/>
    </row>
    <row r="770" spans="1:8" ht="15.75" customHeight="1" x14ac:dyDescent="0.3">
      <c r="A770" s="26"/>
      <c r="B770" s="27"/>
      <c r="C770" s="27"/>
      <c r="D770" s="27"/>
      <c r="E770" s="27"/>
      <c r="F770" s="27"/>
      <c r="G770" s="27"/>
      <c r="H770" s="27"/>
    </row>
    <row r="771" spans="1:8" ht="15.75" customHeight="1" x14ac:dyDescent="0.3">
      <c r="A771" s="26"/>
      <c r="B771" s="27"/>
      <c r="C771" s="27"/>
      <c r="D771" s="27"/>
      <c r="E771" s="27"/>
      <c r="F771" s="27"/>
      <c r="G771" s="27"/>
      <c r="H771" s="27"/>
    </row>
    <row r="772" spans="1:8" ht="15.75" customHeight="1" x14ac:dyDescent="0.3">
      <c r="A772" s="26"/>
      <c r="B772" s="27"/>
      <c r="C772" s="27"/>
      <c r="D772" s="27"/>
      <c r="E772" s="27"/>
      <c r="F772" s="27"/>
      <c r="G772" s="27"/>
      <c r="H772" s="27"/>
    </row>
    <row r="773" spans="1:8" ht="15.75" customHeight="1" x14ac:dyDescent="0.3">
      <c r="A773" s="26"/>
      <c r="B773" s="27"/>
      <c r="C773" s="27"/>
      <c r="D773" s="27"/>
      <c r="E773" s="27"/>
      <c r="F773" s="27"/>
      <c r="G773" s="27"/>
      <c r="H773" s="27"/>
    </row>
    <row r="774" spans="1:8" ht="15.75" customHeight="1" x14ac:dyDescent="0.3">
      <c r="A774" s="26"/>
      <c r="B774" s="27"/>
      <c r="C774" s="27"/>
      <c r="D774" s="27"/>
      <c r="E774" s="27"/>
      <c r="F774" s="27"/>
      <c r="G774" s="27"/>
      <c r="H774" s="27"/>
    </row>
    <row r="775" spans="1:8" ht="15.75" customHeight="1" x14ac:dyDescent="0.3">
      <c r="A775" s="26"/>
      <c r="B775" s="27"/>
      <c r="C775" s="27"/>
      <c r="D775" s="27"/>
      <c r="E775" s="27"/>
      <c r="F775" s="27"/>
      <c r="G775" s="27"/>
      <c r="H775" s="27"/>
    </row>
    <row r="776" spans="1:8" ht="15.75" customHeight="1" x14ac:dyDescent="0.3">
      <c r="A776" s="26"/>
      <c r="B776" s="27"/>
      <c r="C776" s="27"/>
      <c r="D776" s="27"/>
      <c r="E776" s="27"/>
      <c r="F776" s="27"/>
      <c r="G776" s="27"/>
      <c r="H776" s="27"/>
    </row>
    <row r="777" spans="1:8" ht="15.75" customHeight="1" x14ac:dyDescent="0.3">
      <c r="A777" s="26"/>
      <c r="B777" s="27"/>
      <c r="C777" s="27"/>
      <c r="D777" s="27"/>
      <c r="E777" s="27"/>
      <c r="F777" s="27"/>
      <c r="G777" s="27"/>
      <c r="H777" s="27"/>
    </row>
    <row r="778" spans="1:8" ht="15.75" customHeight="1" x14ac:dyDescent="0.3">
      <c r="A778" s="26"/>
      <c r="B778" s="27"/>
      <c r="C778" s="27"/>
      <c r="D778" s="27"/>
      <c r="E778" s="27"/>
      <c r="F778" s="27"/>
      <c r="G778" s="27"/>
      <c r="H778" s="27"/>
    </row>
    <row r="779" spans="1:8" ht="15.75" customHeight="1" x14ac:dyDescent="0.3">
      <c r="A779" s="26"/>
      <c r="B779" s="27"/>
      <c r="C779" s="27"/>
      <c r="D779" s="27"/>
      <c r="E779" s="27"/>
      <c r="F779" s="27"/>
      <c r="G779" s="27"/>
      <c r="H779" s="27"/>
    </row>
    <row r="780" spans="1:8" ht="15.75" customHeight="1" x14ac:dyDescent="0.3">
      <c r="A780" s="26"/>
      <c r="B780" s="27"/>
      <c r="C780" s="27"/>
      <c r="D780" s="27"/>
      <c r="E780" s="27"/>
      <c r="F780" s="27"/>
      <c r="G780" s="27"/>
      <c r="H780" s="27"/>
    </row>
    <row r="781" spans="1:8" ht="15.75" customHeight="1" x14ac:dyDescent="0.3">
      <c r="A781" s="26"/>
      <c r="B781" s="27"/>
      <c r="C781" s="27"/>
      <c r="D781" s="27"/>
      <c r="E781" s="27"/>
      <c r="F781" s="27"/>
      <c r="G781" s="27"/>
      <c r="H781" s="27"/>
    </row>
    <row r="782" spans="1:8" ht="15.75" customHeight="1" x14ac:dyDescent="0.3">
      <c r="A782" s="26"/>
      <c r="B782" s="27"/>
      <c r="C782" s="27"/>
      <c r="D782" s="27"/>
      <c r="E782" s="27"/>
      <c r="F782" s="27"/>
      <c r="G782" s="27"/>
      <c r="H782" s="27"/>
    </row>
    <row r="783" spans="1:8" ht="15.75" customHeight="1" x14ac:dyDescent="0.3">
      <c r="A783" s="26"/>
      <c r="B783" s="27"/>
      <c r="C783" s="27"/>
      <c r="D783" s="27"/>
      <c r="E783" s="27"/>
      <c r="F783" s="27"/>
      <c r="G783" s="27"/>
      <c r="H783" s="27"/>
    </row>
    <row r="784" spans="1:8" ht="15.75" customHeight="1" x14ac:dyDescent="0.3">
      <c r="A784" s="26"/>
      <c r="B784" s="27"/>
      <c r="C784" s="27"/>
      <c r="D784" s="27"/>
      <c r="E784" s="27"/>
      <c r="F784" s="27"/>
      <c r="G784" s="27"/>
      <c r="H784" s="27"/>
    </row>
    <row r="785" spans="1:8" ht="15.75" customHeight="1" x14ac:dyDescent="0.3">
      <c r="A785" s="26"/>
      <c r="B785" s="27"/>
      <c r="C785" s="27"/>
      <c r="D785" s="27"/>
      <c r="E785" s="27"/>
      <c r="F785" s="27"/>
      <c r="G785" s="27"/>
      <c r="H785" s="27"/>
    </row>
    <row r="786" spans="1:8" ht="15.75" customHeight="1" x14ac:dyDescent="0.3">
      <c r="A786" s="26"/>
      <c r="B786" s="27"/>
      <c r="C786" s="27"/>
      <c r="D786" s="27"/>
      <c r="E786" s="27"/>
      <c r="F786" s="27"/>
      <c r="G786" s="27"/>
      <c r="H786" s="27"/>
    </row>
    <row r="787" spans="1:8" ht="15.75" customHeight="1" x14ac:dyDescent="0.3">
      <c r="A787" s="26"/>
      <c r="B787" s="27"/>
      <c r="C787" s="27"/>
      <c r="D787" s="27"/>
      <c r="E787" s="27"/>
      <c r="F787" s="27"/>
      <c r="G787" s="27"/>
      <c r="H787" s="27"/>
    </row>
    <row r="788" spans="1:8" ht="15.75" customHeight="1" x14ac:dyDescent="0.3">
      <c r="A788" s="26"/>
      <c r="B788" s="27"/>
      <c r="C788" s="27"/>
      <c r="D788" s="27"/>
      <c r="E788" s="27"/>
      <c r="F788" s="27"/>
      <c r="G788" s="27"/>
      <c r="H788" s="27"/>
    </row>
    <row r="789" spans="1:8" ht="15.75" customHeight="1" x14ac:dyDescent="0.3">
      <c r="A789" s="26"/>
      <c r="B789" s="27"/>
      <c r="C789" s="27"/>
      <c r="D789" s="27"/>
      <c r="E789" s="27"/>
      <c r="F789" s="27"/>
      <c r="G789" s="27"/>
      <c r="H789" s="27"/>
    </row>
    <row r="790" spans="1:8" ht="15.75" customHeight="1" x14ac:dyDescent="0.3">
      <c r="A790" s="26"/>
      <c r="B790" s="27"/>
      <c r="C790" s="27"/>
      <c r="D790" s="27"/>
      <c r="E790" s="27"/>
      <c r="F790" s="27"/>
      <c r="G790" s="27"/>
      <c r="H790" s="27"/>
    </row>
    <row r="791" spans="1:8" ht="15.75" customHeight="1" x14ac:dyDescent="0.3">
      <c r="A791" s="26"/>
      <c r="B791" s="27"/>
      <c r="C791" s="27"/>
      <c r="D791" s="27"/>
      <c r="E791" s="27"/>
      <c r="F791" s="27"/>
      <c r="G791" s="27"/>
      <c r="H791" s="27"/>
    </row>
    <row r="792" spans="1:8" ht="15.75" customHeight="1" x14ac:dyDescent="0.3">
      <c r="A792" s="26"/>
      <c r="B792" s="27"/>
      <c r="C792" s="27"/>
      <c r="D792" s="27"/>
      <c r="E792" s="27"/>
      <c r="F792" s="27"/>
      <c r="G792" s="27"/>
      <c r="H792" s="27"/>
    </row>
    <row r="793" spans="1:8" ht="15.75" customHeight="1" x14ac:dyDescent="0.3">
      <c r="A793" s="26"/>
      <c r="B793" s="27"/>
      <c r="C793" s="27"/>
      <c r="D793" s="27"/>
      <c r="E793" s="27"/>
      <c r="F793" s="27"/>
      <c r="G793" s="27"/>
      <c r="H793" s="27"/>
    </row>
    <row r="794" spans="1:8" ht="15.75" customHeight="1" x14ac:dyDescent="0.3">
      <c r="A794" s="26"/>
      <c r="B794" s="27"/>
      <c r="C794" s="27"/>
      <c r="D794" s="27"/>
      <c r="E794" s="27"/>
      <c r="F794" s="27"/>
      <c r="G794" s="27"/>
      <c r="H794" s="27"/>
    </row>
    <row r="795" spans="1:8" ht="15.75" customHeight="1" x14ac:dyDescent="0.3">
      <c r="A795" s="26"/>
      <c r="B795" s="27"/>
      <c r="C795" s="27"/>
      <c r="D795" s="27"/>
      <c r="E795" s="27"/>
      <c r="F795" s="27"/>
      <c r="G795" s="27"/>
      <c r="H795" s="27"/>
    </row>
    <row r="796" spans="1:8" ht="15.75" customHeight="1" x14ac:dyDescent="0.3">
      <c r="A796" s="26"/>
      <c r="B796" s="27"/>
      <c r="C796" s="27"/>
      <c r="D796" s="27"/>
      <c r="E796" s="27"/>
      <c r="F796" s="27"/>
      <c r="G796" s="27"/>
      <c r="H796" s="27"/>
    </row>
    <row r="797" spans="1:8" ht="15.75" customHeight="1" x14ac:dyDescent="0.3">
      <c r="A797" s="26"/>
      <c r="B797" s="27"/>
      <c r="C797" s="27"/>
      <c r="D797" s="27"/>
      <c r="E797" s="27"/>
      <c r="F797" s="27"/>
      <c r="G797" s="27"/>
      <c r="H797" s="27"/>
    </row>
    <row r="798" spans="1:8" ht="15.75" customHeight="1" x14ac:dyDescent="0.3">
      <c r="A798" s="26"/>
      <c r="B798" s="27"/>
      <c r="C798" s="27"/>
      <c r="D798" s="27"/>
      <c r="E798" s="27"/>
      <c r="F798" s="27"/>
      <c r="G798" s="27"/>
      <c r="H798" s="27"/>
    </row>
    <row r="799" spans="1:8" ht="15.75" customHeight="1" x14ac:dyDescent="0.3">
      <c r="A799" s="26"/>
      <c r="B799" s="27"/>
      <c r="C799" s="27"/>
      <c r="D799" s="27"/>
      <c r="E799" s="27"/>
      <c r="F799" s="27"/>
      <c r="G799" s="27"/>
      <c r="H799" s="27"/>
    </row>
    <row r="800" spans="1:8" ht="15.75" customHeight="1" x14ac:dyDescent="0.3">
      <c r="A800" s="26"/>
      <c r="B800" s="27"/>
      <c r="C800" s="27"/>
      <c r="D800" s="27"/>
      <c r="E800" s="27"/>
      <c r="F800" s="27"/>
      <c r="G800" s="27"/>
      <c r="H800" s="27"/>
    </row>
    <row r="801" spans="1:8" ht="15.75" customHeight="1" x14ac:dyDescent="0.3">
      <c r="A801" s="26"/>
      <c r="B801" s="27"/>
      <c r="C801" s="27"/>
      <c r="D801" s="27"/>
      <c r="E801" s="27"/>
      <c r="F801" s="27"/>
      <c r="G801" s="27"/>
      <c r="H801" s="27"/>
    </row>
    <row r="802" spans="1:8" ht="15.75" customHeight="1" x14ac:dyDescent="0.3">
      <c r="A802" s="26"/>
      <c r="B802" s="27"/>
      <c r="C802" s="27"/>
      <c r="D802" s="27"/>
      <c r="E802" s="27"/>
      <c r="F802" s="27"/>
      <c r="G802" s="27"/>
      <c r="H802" s="27"/>
    </row>
    <row r="803" spans="1:8" ht="15.75" customHeight="1" x14ac:dyDescent="0.3">
      <c r="A803" s="26"/>
      <c r="B803" s="27"/>
      <c r="C803" s="27"/>
      <c r="D803" s="27"/>
      <c r="E803" s="27"/>
      <c r="F803" s="27"/>
      <c r="G803" s="27"/>
      <c r="H803" s="27"/>
    </row>
    <row r="804" spans="1:8" ht="15.75" customHeight="1" x14ac:dyDescent="0.3">
      <c r="A804" s="26"/>
      <c r="B804" s="27"/>
      <c r="C804" s="27"/>
      <c r="D804" s="27"/>
      <c r="E804" s="27"/>
      <c r="F804" s="27"/>
      <c r="G804" s="27"/>
      <c r="H804" s="27"/>
    </row>
    <row r="805" spans="1:8" ht="15.75" customHeight="1" x14ac:dyDescent="0.3">
      <c r="A805" s="26"/>
      <c r="B805" s="27"/>
      <c r="C805" s="27"/>
      <c r="D805" s="27"/>
      <c r="E805" s="27"/>
      <c r="F805" s="27"/>
      <c r="G805" s="27"/>
      <c r="H805" s="27"/>
    </row>
    <row r="806" spans="1:8" ht="15.75" customHeight="1" x14ac:dyDescent="0.3">
      <c r="A806" s="26"/>
      <c r="B806" s="27"/>
      <c r="C806" s="27"/>
      <c r="D806" s="27"/>
      <c r="E806" s="27"/>
      <c r="F806" s="27"/>
      <c r="G806" s="27"/>
      <c r="H806" s="27"/>
    </row>
    <row r="807" spans="1:8" ht="15.75" customHeight="1" x14ac:dyDescent="0.3">
      <c r="A807" s="26"/>
      <c r="B807" s="27"/>
      <c r="C807" s="27"/>
      <c r="D807" s="27"/>
      <c r="E807" s="27"/>
      <c r="F807" s="27"/>
      <c r="G807" s="27"/>
      <c r="H807" s="27"/>
    </row>
    <row r="808" spans="1:8" ht="15.75" customHeight="1" x14ac:dyDescent="0.3">
      <c r="A808" s="26"/>
      <c r="B808" s="27"/>
      <c r="C808" s="27"/>
      <c r="D808" s="27"/>
      <c r="E808" s="27"/>
      <c r="F808" s="27"/>
      <c r="G808" s="27"/>
      <c r="H808" s="27"/>
    </row>
    <row r="809" spans="1:8" ht="15.75" customHeight="1" x14ac:dyDescent="0.3">
      <c r="A809" s="26"/>
      <c r="B809" s="27"/>
      <c r="C809" s="27"/>
      <c r="D809" s="27"/>
      <c r="E809" s="27"/>
      <c r="F809" s="27"/>
      <c r="G809" s="27"/>
      <c r="H809" s="27"/>
    </row>
    <row r="810" spans="1:8" ht="15.75" customHeight="1" x14ac:dyDescent="0.3">
      <c r="A810" s="26"/>
      <c r="B810" s="27"/>
      <c r="C810" s="27"/>
      <c r="D810" s="27"/>
      <c r="E810" s="27"/>
      <c r="F810" s="27"/>
      <c r="G810" s="27"/>
      <c r="H810" s="27"/>
    </row>
    <row r="811" spans="1:8" ht="15.75" customHeight="1" x14ac:dyDescent="0.3">
      <c r="A811" s="26"/>
      <c r="B811" s="27"/>
      <c r="C811" s="27"/>
      <c r="D811" s="27"/>
      <c r="E811" s="27"/>
      <c r="F811" s="27"/>
      <c r="G811" s="27"/>
      <c r="H811" s="27"/>
    </row>
    <row r="812" spans="1:8" ht="15.75" customHeight="1" x14ac:dyDescent="0.3">
      <c r="A812" s="26"/>
      <c r="B812" s="27"/>
      <c r="C812" s="27"/>
      <c r="D812" s="27"/>
      <c r="E812" s="27"/>
      <c r="F812" s="27"/>
      <c r="G812" s="27"/>
      <c r="H812" s="27"/>
    </row>
    <row r="813" spans="1:8" ht="15.75" customHeight="1" x14ac:dyDescent="0.3">
      <c r="A813" s="26"/>
      <c r="B813" s="27"/>
      <c r="C813" s="27"/>
      <c r="D813" s="27"/>
      <c r="E813" s="27"/>
      <c r="F813" s="27"/>
      <c r="G813" s="27"/>
      <c r="H813" s="27"/>
    </row>
    <row r="814" spans="1:8" ht="15.75" customHeight="1" x14ac:dyDescent="0.3">
      <c r="A814" s="26"/>
      <c r="B814" s="27"/>
      <c r="C814" s="27"/>
      <c r="D814" s="27"/>
      <c r="E814" s="27"/>
      <c r="F814" s="27"/>
      <c r="G814" s="27"/>
      <c r="H814" s="27"/>
    </row>
    <row r="815" spans="1:8" ht="15.75" customHeight="1" x14ac:dyDescent="0.3">
      <c r="A815" s="26"/>
      <c r="B815" s="27"/>
      <c r="C815" s="27"/>
      <c r="D815" s="27"/>
      <c r="E815" s="27"/>
      <c r="F815" s="27"/>
      <c r="G815" s="27"/>
      <c r="H815" s="27"/>
    </row>
    <row r="816" spans="1:8" ht="15.75" customHeight="1" x14ac:dyDescent="0.3">
      <c r="A816" s="26"/>
      <c r="B816" s="27"/>
      <c r="C816" s="27"/>
      <c r="D816" s="27"/>
      <c r="E816" s="27"/>
      <c r="F816" s="27"/>
      <c r="G816" s="27"/>
      <c r="H816" s="27"/>
    </row>
    <row r="817" spans="1:8" ht="15.75" customHeight="1" x14ac:dyDescent="0.3">
      <c r="A817" s="26"/>
      <c r="B817" s="27"/>
      <c r="C817" s="27"/>
      <c r="D817" s="27"/>
      <c r="E817" s="27"/>
      <c r="F817" s="27"/>
      <c r="G817" s="27"/>
      <c r="H817" s="27"/>
    </row>
    <row r="818" spans="1:8" ht="15.75" customHeight="1" x14ac:dyDescent="0.3">
      <c r="A818" s="26"/>
      <c r="B818" s="27"/>
      <c r="C818" s="27"/>
      <c r="D818" s="27"/>
      <c r="E818" s="27"/>
      <c r="F818" s="27"/>
      <c r="G818" s="27"/>
      <c r="H818" s="27"/>
    </row>
    <row r="819" spans="1:8" ht="15.75" customHeight="1" x14ac:dyDescent="0.3">
      <c r="A819" s="26"/>
      <c r="B819" s="27"/>
      <c r="C819" s="27"/>
      <c r="D819" s="27"/>
      <c r="E819" s="27"/>
      <c r="F819" s="27"/>
      <c r="G819" s="27"/>
      <c r="H819" s="27"/>
    </row>
    <row r="820" spans="1:8" ht="15.75" customHeight="1" x14ac:dyDescent="0.3">
      <c r="A820" s="26"/>
      <c r="B820" s="27"/>
      <c r="C820" s="27"/>
      <c r="D820" s="27"/>
      <c r="E820" s="27"/>
      <c r="F820" s="27"/>
      <c r="G820" s="27"/>
      <c r="H820" s="27"/>
    </row>
    <row r="821" spans="1:8" ht="15.75" customHeight="1" x14ac:dyDescent="0.3">
      <c r="A821" s="26"/>
      <c r="B821" s="27"/>
      <c r="C821" s="27"/>
      <c r="D821" s="27"/>
      <c r="E821" s="27"/>
      <c r="F821" s="27"/>
      <c r="G821" s="27"/>
      <c r="H821" s="27"/>
    </row>
    <row r="822" spans="1:8" ht="15.75" customHeight="1" x14ac:dyDescent="0.3">
      <c r="A822" s="26"/>
      <c r="B822" s="27"/>
      <c r="C822" s="27"/>
      <c r="D822" s="27"/>
      <c r="E822" s="27"/>
      <c r="F822" s="27"/>
      <c r="G822" s="27"/>
      <c r="H822" s="27"/>
    </row>
    <row r="823" spans="1:8" ht="15.75" customHeight="1" x14ac:dyDescent="0.3">
      <c r="A823" s="26"/>
      <c r="B823" s="27"/>
      <c r="C823" s="27"/>
      <c r="D823" s="27"/>
      <c r="E823" s="27"/>
      <c r="F823" s="27"/>
      <c r="G823" s="27"/>
      <c r="H823" s="27"/>
    </row>
    <row r="824" spans="1:8" ht="15.75" customHeight="1" x14ac:dyDescent="0.3">
      <c r="A824" s="26"/>
      <c r="B824" s="27"/>
      <c r="C824" s="27"/>
      <c r="D824" s="27"/>
      <c r="E824" s="27"/>
      <c r="F824" s="27"/>
      <c r="G824" s="27"/>
      <c r="H824" s="27"/>
    </row>
    <row r="825" spans="1:8" ht="15.75" customHeight="1" x14ac:dyDescent="0.3">
      <c r="A825" s="26"/>
      <c r="B825" s="27"/>
      <c r="C825" s="27"/>
      <c r="D825" s="27"/>
      <c r="E825" s="27"/>
      <c r="F825" s="27"/>
      <c r="G825" s="27"/>
      <c r="H825" s="27"/>
    </row>
    <row r="826" spans="1:8" ht="15.75" customHeight="1" x14ac:dyDescent="0.3">
      <c r="A826" s="26"/>
      <c r="B826" s="27"/>
      <c r="C826" s="27"/>
      <c r="D826" s="27"/>
      <c r="E826" s="27"/>
      <c r="F826" s="27"/>
      <c r="G826" s="27"/>
      <c r="H826" s="27"/>
    </row>
    <row r="827" spans="1:8" ht="15.75" customHeight="1" x14ac:dyDescent="0.3">
      <c r="A827" s="26"/>
      <c r="B827" s="27"/>
      <c r="C827" s="27"/>
      <c r="D827" s="27"/>
      <c r="E827" s="27"/>
      <c r="F827" s="27"/>
      <c r="G827" s="27"/>
      <c r="H827" s="27"/>
    </row>
    <row r="828" spans="1:8" ht="15.75" customHeight="1" x14ac:dyDescent="0.3">
      <c r="A828" s="26"/>
      <c r="B828" s="27"/>
      <c r="C828" s="27"/>
      <c r="D828" s="27"/>
      <c r="E828" s="27"/>
      <c r="F828" s="27"/>
      <c r="G828" s="27"/>
      <c r="H828" s="27"/>
    </row>
    <row r="829" spans="1:8" ht="15.75" customHeight="1" x14ac:dyDescent="0.3">
      <c r="A829" s="26"/>
      <c r="B829" s="27"/>
      <c r="C829" s="27"/>
      <c r="D829" s="27"/>
      <c r="E829" s="27"/>
      <c r="F829" s="27"/>
      <c r="G829" s="27"/>
      <c r="H829" s="27"/>
    </row>
    <row r="830" spans="1:8" ht="15.75" customHeight="1" x14ac:dyDescent="0.3">
      <c r="A830" s="26"/>
      <c r="B830" s="27"/>
      <c r="C830" s="27"/>
      <c r="D830" s="27"/>
      <c r="E830" s="27"/>
      <c r="F830" s="27"/>
      <c r="G830" s="27"/>
      <c r="H830" s="27"/>
    </row>
    <row r="831" spans="1:8" ht="15.75" customHeight="1" x14ac:dyDescent="0.3">
      <c r="A831" s="26"/>
      <c r="B831" s="27"/>
      <c r="C831" s="27"/>
      <c r="D831" s="27"/>
      <c r="E831" s="27"/>
      <c r="F831" s="27"/>
      <c r="G831" s="27"/>
      <c r="H831" s="27"/>
    </row>
    <row r="832" spans="1:8" ht="15.75" customHeight="1" x14ac:dyDescent="0.3">
      <c r="A832" s="26"/>
      <c r="B832" s="27"/>
      <c r="C832" s="27"/>
      <c r="D832" s="27"/>
      <c r="E832" s="27"/>
      <c r="F832" s="27"/>
      <c r="G832" s="27"/>
      <c r="H832" s="27"/>
    </row>
    <row r="833" spans="1:8" ht="15.75" customHeight="1" x14ac:dyDescent="0.3">
      <c r="A833" s="26"/>
      <c r="B833" s="27"/>
      <c r="C833" s="27"/>
      <c r="D833" s="27"/>
      <c r="E833" s="27"/>
      <c r="F833" s="27"/>
      <c r="G833" s="27"/>
      <c r="H833" s="27"/>
    </row>
    <row r="834" spans="1:8" ht="15.75" customHeight="1" x14ac:dyDescent="0.3">
      <c r="A834" s="26"/>
      <c r="B834" s="27"/>
      <c r="C834" s="27"/>
      <c r="D834" s="27"/>
      <c r="E834" s="27"/>
      <c r="F834" s="27"/>
      <c r="G834" s="27"/>
      <c r="H834" s="27"/>
    </row>
    <row r="835" spans="1:8" ht="15.75" customHeight="1" x14ac:dyDescent="0.3">
      <c r="A835" s="26"/>
      <c r="B835" s="27"/>
      <c r="C835" s="27"/>
      <c r="D835" s="27"/>
      <c r="E835" s="27"/>
      <c r="F835" s="27"/>
      <c r="G835" s="27"/>
      <c r="H835" s="27"/>
    </row>
    <row r="836" spans="1:8" ht="15.75" customHeight="1" x14ac:dyDescent="0.3">
      <c r="A836" s="26"/>
      <c r="B836" s="27"/>
      <c r="C836" s="27"/>
      <c r="D836" s="27"/>
      <c r="E836" s="27"/>
      <c r="F836" s="27"/>
      <c r="G836" s="27"/>
      <c r="H836" s="27"/>
    </row>
    <row r="837" spans="1:8" ht="15.75" customHeight="1" x14ac:dyDescent="0.3">
      <c r="A837" s="26"/>
      <c r="B837" s="27"/>
      <c r="C837" s="27"/>
      <c r="D837" s="27"/>
      <c r="E837" s="27"/>
      <c r="F837" s="27"/>
      <c r="G837" s="27"/>
      <c r="H837" s="27"/>
    </row>
    <row r="838" spans="1:8" ht="15.75" customHeight="1" x14ac:dyDescent="0.3">
      <c r="A838" s="26"/>
      <c r="B838" s="27"/>
      <c r="C838" s="27"/>
      <c r="D838" s="27"/>
      <c r="E838" s="27"/>
      <c r="F838" s="27"/>
      <c r="G838" s="27"/>
      <c r="H838" s="27"/>
    </row>
    <row r="839" spans="1:8" ht="15.75" customHeight="1" x14ac:dyDescent="0.3">
      <c r="A839" s="26"/>
      <c r="B839" s="27"/>
      <c r="C839" s="27"/>
      <c r="D839" s="27"/>
      <c r="E839" s="27"/>
      <c r="F839" s="27"/>
      <c r="G839" s="27"/>
      <c r="H839" s="27"/>
    </row>
    <row r="840" spans="1:8" ht="15.75" customHeight="1" x14ac:dyDescent="0.3">
      <c r="A840" s="26"/>
      <c r="B840" s="27"/>
      <c r="C840" s="27"/>
      <c r="D840" s="27"/>
      <c r="E840" s="27"/>
      <c r="F840" s="27"/>
      <c r="G840" s="27"/>
      <c r="H840" s="27"/>
    </row>
    <row r="841" spans="1:8" ht="15.75" customHeight="1" x14ac:dyDescent="0.3">
      <c r="A841" s="26"/>
      <c r="B841" s="27"/>
      <c r="C841" s="27"/>
      <c r="D841" s="27"/>
      <c r="E841" s="27"/>
      <c r="F841" s="27"/>
      <c r="G841" s="27"/>
      <c r="H841" s="27"/>
    </row>
    <row r="842" spans="1:8" ht="15.75" customHeight="1" x14ac:dyDescent="0.3">
      <c r="A842" s="26"/>
      <c r="B842" s="27"/>
      <c r="C842" s="27"/>
      <c r="D842" s="27"/>
      <c r="E842" s="27"/>
      <c r="F842" s="27"/>
      <c r="G842" s="27"/>
      <c r="H842" s="27"/>
    </row>
    <row r="843" spans="1:8" ht="15.75" customHeight="1" x14ac:dyDescent="0.3">
      <c r="A843" s="26"/>
      <c r="B843" s="27"/>
      <c r="C843" s="27"/>
      <c r="D843" s="27"/>
      <c r="E843" s="27"/>
      <c r="F843" s="27"/>
      <c r="G843" s="27"/>
      <c r="H843" s="27"/>
    </row>
    <row r="844" spans="1:8" ht="15.75" customHeight="1" x14ac:dyDescent="0.3">
      <c r="A844" s="26"/>
      <c r="B844" s="27"/>
      <c r="C844" s="27"/>
      <c r="D844" s="27"/>
      <c r="E844" s="27"/>
      <c r="F844" s="27"/>
      <c r="G844" s="27"/>
      <c r="H844" s="27"/>
    </row>
    <row r="845" spans="1:8" ht="15.75" customHeight="1" x14ac:dyDescent="0.3">
      <c r="A845" s="26"/>
      <c r="B845" s="27"/>
      <c r="C845" s="27"/>
      <c r="D845" s="27"/>
      <c r="E845" s="27"/>
      <c r="F845" s="27"/>
      <c r="G845" s="27"/>
      <c r="H845" s="27"/>
    </row>
    <row r="846" spans="1:8" ht="15.75" customHeight="1" x14ac:dyDescent="0.3">
      <c r="A846" s="26"/>
      <c r="B846" s="27"/>
      <c r="C846" s="27"/>
      <c r="D846" s="27"/>
      <c r="E846" s="27"/>
      <c r="F846" s="27"/>
      <c r="G846" s="27"/>
      <c r="H846" s="27"/>
    </row>
    <row r="847" spans="1:8" ht="15.75" customHeight="1" x14ac:dyDescent="0.3">
      <c r="A847" s="26"/>
      <c r="B847" s="27"/>
      <c r="C847" s="27"/>
      <c r="D847" s="27"/>
      <c r="E847" s="27"/>
      <c r="F847" s="27"/>
      <c r="G847" s="27"/>
      <c r="H847" s="27"/>
    </row>
    <row r="848" spans="1:8" ht="15.75" customHeight="1" x14ac:dyDescent="0.3">
      <c r="A848" s="26"/>
      <c r="B848" s="27"/>
      <c r="C848" s="27"/>
      <c r="D848" s="27"/>
      <c r="E848" s="27"/>
      <c r="F848" s="27"/>
      <c r="G848" s="27"/>
      <c r="H848" s="27"/>
    </row>
    <row r="849" spans="1:8" ht="15.75" customHeight="1" x14ac:dyDescent="0.3">
      <c r="A849" s="26"/>
      <c r="B849" s="27"/>
      <c r="C849" s="27"/>
      <c r="D849" s="27"/>
      <c r="E849" s="27"/>
      <c r="F849" s="27"/>
      <c r="G849" s="27"/>
      <c r="H849" s="27"/>
    </row>
    <row r="850" spans="1:8" ht="15.75" customHeight="1" x14ac:dyDescent="0.3">
      <c r="A850" s="26"/>
      <c r="B850" s="27"/>
      <c r="C850" s="27"/>
      <c r="D850" s="27"/>
      <c r="E850" s="27"/>
      <c r="F850" s="27"/>
      <c r="G850" s="27"/>
      <c r="H850" s="27"/>
    </row>
    <row r="851" spans="1:8" ht="15.75" customHeight="1" x14ac:dyDescent="0.3">
      <c r="A851" s="26"/>
      <c r="B851" s="27"/>
      <c r="C851" s="27"/>
      <c r="D851" s="27"/>
      <c r="E851" s="27"/>
      <c r="F851" s="27"/>
      <c r="G851" s="27"/>
      <c r="H851" s="27"/>
    </row>
    <row r="852" spans="1:8" ht="15.75" customHeight="1" x14ac:dyDescent="0.3">
      <c r="A852" s="26"/>
      <c r="B852" s="27"/>
      <c r="C852" s="27"/>
      <c r="D852" s="27"/>
      <c r="E852" s="27"/>
      <c r="F852" s="27"/>
      <c r="G852" s="27"/>
      <c r="H852" s="27"/>
    </row>
    <row r="853" spans="1:8" ht="15.75" customHeight="1" x14ac:dyDescent="0.3">
      <c r="A853" s="26"/>
      <c r="B853" s="27"/>
      <c r="C853" s="27"/>
      <c r="D853" s="27"/>
      <c r="E853" s="27"/>
      <c r="F853" s="27"/>
      <c r="G853" s="27"/>
      <c r="H853" s="27"/>
    </row>
    <row r="854" spans="1:8" ht="15.75" customHeight="1" x14ac:dyDescent="0.3">
      <c r="A854" s="26"/>
      <c r="B854" s="27"/>
      <c r="C854" s="27"/>
      <c r="D854" s="27"/>
      <c r="E854" s="27"/>
      <c r="F854" s="27"/>
      <c r="G854" s="27"/>
      <c r="H854" s="27"/>
    </row>
    <row r="855" spans="1:8" ht="15.75" customHeight="1" x14ac:dyDescent="0.3">
      <c r="A855" s="26"/>
      <c r="B855" s="27"/>
      <c r="C855" s="27"/>
      <c r="D855" s="27"/>
      <c r="E855" s="27"/>
      <c r="F855" s="27"/>
      <c r="G855" s="27"/>
      <c r="H855" s="27"/>
    </row>
    <row r="856" spans="1:8" ht="15.75" customHeight="1" x14ac:dyDescent="0.3">
      <c r="A856" s="26"/>
      <c r="B856" s="27"/>
      <c r="C856" s="27"/>
      <c r="D856" s="27"/>
      <c r="E856" s="27"/>
      <c r="F856" s="27"/>
      <c r="G856" s="27"/>
      <c r="H856" s="27"/>
    </row>
    <row r="857" spans="1:8" ht="15.75" customHeight="1" x14ac:dyDescent="0.3">
      <c r="A857" s="26"/>
      <c r="B857" s="27"/>
      <c r="C857" s="27"/>
      <c r="D857" s="27"/>
      <c r="E857" s="27"/>
      <c r="F857" s="27"/>
      <c r="G857" s="27"/>
      <c r="H857" s="27"/>
    </row>
    <row r="858" spans="1:8" ht="15.75" customHeight="1" x14ac:dyDescent="0.3">
      <c r="A858" s="26"/>
      <c r="B858" s="27"/>
      <c r="C858" s="27"/>
      <c r="D858" s="27"/>
      <c r="E858" s="27"/>
      <c r="F858" s="27"/>
      <c r="G858" s="27"/>
      <c r="H858" s="27"/>
    </row>
    <row r="859" spans="1:8" ht="15.75" customHeight="1" x14ac:dyDescent="0.3">
      <c r="A859" s="26"/>
      <c r="B859" s="27"/>
      <c r="C859" s="27"/>
      <c r="D859" s="27"/>
      <c r="E859" s="27"/>
      <c r="F859" s="27"/>
      <c r="G859" s="27"/>
      <c r="H859" s="27"/>
    </row>
    <row r="860" spans="1:8" ht="15.75" customHeight="1" x14ac:dyDescent="0.3">
      <c r="A860" s="26"/>
      <c r="B860" s="27"/>
      <c r="C860" s="27"/>
      <c r="D860" s="27"/>
      <c r="E860" s="27"/>
      <c r="F860" s="27"/>
      <c r="G860" s="27"/>
      <c r="H860" s="27"/>
    </row>
    <row r="861" spans="1:8" ht="15.75" customHeight="1" x14ac:dyDescent="0.3">
      <c r="A861" s="26"/>
      <c r="B861" s="27"/>
      <c r="C861" s="27"/>
      <c r="D861" s="27"/>
      <c r="E861" s="27"/>
      <c r="F861" s="27"/>
      <c r="G861" s="27"/>
      <c r="H861" s="27"/>
    </row>
    <row r="862" spans="1:8" ht="15.75" customHeight="1" x14ac:dyDescent="0.3">
      <c r="A862" s="26"/>
      <c r="B862" s="27"/>
      <c r="C862" s="27"/>
      <c r="D862" s="27"/>
      <c r="E862" s="27"/>
      <c r="F862" s="27"/>
      <c r="G862" s="27"/>
      <c r="H862" s="27"/>
    </row>
    <row r="863" spans="1:8" ht="15.75" customHeight="1" x14ac:dyDescent="0.3">
      <c r="A863" s="26"/>
      <c r="B863" s="27"/>
      <c r="C863" s="27"/>
      <c r="D863" s="27"/>
      <c r="E863" s="27"/>
      <c r="F863" s="27"/>
      <c r="G863" s="27"/>
      <c r="H863" s="27"/>
    </row>
    <row r="864" spans="1:8" ht="15.75" customHeight="1" x14ac:dyDescent="0.3">
      <c r="A864" s="26"/>
      <c r="B864" s="27"/>
      <c r="C864" s="27"/>
      <c r="D864" s="27"/>
      <c r="E864" s="27"/>
      <c r="F864" s="27"/>
      <c r="G864" s="27"/>
      <c r="H864" s="27"/>
    </row>
    <row r="865" spans="1:8" ht="15.75" customHeight="1" x14ac:dyDescent="0.3">
      <c r="A865" s="26"/>
      <c r="B865" s="27"/>
      <c r="C865" s="27"/>
      <c r="D865" s="27"/>
      <c r="E865" s="27"/>
      <c r="F865" s="27"/>
      <c r="G865" s="27"/>
      <c r="H865" s="27"/>
    </row>
    <row r="866" spans="1:8" ht="15.75" customHeight="1" x14ac:dyDescent="0.3">
      <c r="A866" s="26"/>
      <c r="B866" s="27"/>
      <c r="C866" s="27"/>
      <c r="D866" s="27"/>
      <c r="E866" s="27"/>
      <c r="F866" s="27"/>
      <c r="G866" s="27"/>
      <c r="H866" s="27"/>
    </row>
    <row r="867" spans="1:8" ht="15.75" customHeight="1" x14ac:dyDescent="0.3">
      <c r="A867" s="26"/>
      <c r="B867" s="27"/>
      <c r="C867" s="27"/>
      <c r="D867" s="27"/>
      <c r="E867" s="27"/>
      <c r="F867" s="27"/>
      <c r="G867" s="27"/>
      <c r="H867" s="27"/>
    </row>
    <row r="868" spans="1:8" ht="15.75" customHeight="1" x14ac:dyDescent="0.3">
      <c r="A868" s="26"/>
      <c r="B868" s="27"/>
      <c r="C868" s="27"/>
      <c r="D868" s="27"/>
      <c r="E868" s="27"/>
      <c r="F868" s="27"/>
      <c r="G868" s="27"/>
      <c r="H868" s="27"/>
    </row>
    <row r="869" spans="1:8" ht="15.75" customHeight="1" x14ac:dyDescent="0.3">
      <c r="A869" s="26"/>
      <c r="B869" s="27"/>
      <c r="C869" s="27"/>
      <c r="D869" s="27"/>
      <c r="E869" s="27"/>
      <c r="F869" s="27"/>
      <c r="G869" s="27"/>
      <c r="H869" s="27"/>
    </row>
    <row r="870" spans="1:8" ht="15.75" customHeight="1" x14ac:dyDescent="0.3">
      <c r="A870" s="26"/>
      <c r="B870" s="27"/>
      <c r="C870" s="27"/>
      <c r="D870" s="27"/>
      <c r="E870" s="27"/>
      <c r="F870" s="27"/>
      <c r="G870" s="27"/>
      <c r="H870" s="27"/>
    </row>
    <row r="871" spans="1:8" ht="15.75" customHeight="1" x14ac:dyDescent="0.3">
      <c r="A871" s="26"/>
      <c r="B871" s="27"/>
      <c r="C871" s="27"/>
      <c r="D871" s="27"/>
      <c r="E871" s="27"/>
      <c r="F871" s="27"/>
      <c r="G871" s="27"/>
      <c r="H871" s="27"/>
    </row>
    <row r="872" spans="1:8" ht="15.75" customHeight="1" x14ac:dyDescent="0.3">
      <c r="A872" s="26"/>
      <c r="B872" s="27"/>
      <c r="C872" s="27"/>
      <c r="D872" s="27"/>
      <c r="E872" s="27"/>
      <c r="F872" s="27"/>
      <c r="G872" s="27"/>
      <c r="H872" s="27"/>
    </row>
    <row r="873" spans="1:8" ht="15.75" customHeight="1" x14ac:dyDescent="0.3">
      <c r="A873" s="26"/>
      <c r="B873" s="27"/>
      <c r="C873" s="27"/>
      <c r="D873" s="27"/>
      <c r="E873" s="27"/>
      <c r="F873" s="27"/>
      <c r="G873" s="27"/>
      <c r="H873" s="27"/>
    </row>
    <row r="874" spans="1:8" ht="15.75" customHeight="1" x14ac:dyDescent="0.3">
      <c r="A874" s="26"/>
      <c r="B874" s="27"/>
      <c r="C874" s="27"/>
      <c r="D874" s="27"/>
      <c r="E874" s="27"/>
      <c r="F874" s="27"/>
      <c r="G874" s="27"/>
      <c r="H874" s="27"/>
    </row>
    <row r="875" spans="1:8" ht="15.75" customHeight="1" x14ac:dyDescent="0.3">
      <c r="A875" s="26"/>
      <c r="B875" s="27"/>
      <c r="C875" s="27"/>
      <c r="D875" s="27"/>
      <c r="E875" s="27"/>
      <c r="F875" s="27"/>
      <c r="G875" s="27"/>
      <c r="H875" s="27"/>
    </row>
    <row r="876" spans="1:8" ht="15.75" customHeight="1" x14ac:dyDescent="0.3">
      <c r="A876" s="26"/>
      <c r="B876" s="27"/>
      <c r="C876" s="27"/>
      <c r="D876" s="27"/>
      <c r="E876" s="27"/>
      <c r="F876" s="27"/>
      <c r="G876" s="27"/>
      <c r="H876" s="27"/>
    </row>
    <row r="877" spans="1:8" ht="15.75" customHeight="1" x14ac:dyDescent="0.3">
      <c r="A877" s="26"/>
      <c r="B877" s="27"/>
      <c r="C877" s="27"/>
      <c r="D877" s="27"/>
      <c r="E877" s="27"/>
      <c r="F877" s="27"/>
      <c r="G877" s="27"/>
      <c r="H877" s="27"/>
    </row>
    <row r="878" spans="1:8" ht="15.75" customHeight="1" x14ac:dyDescent="0.3">
      <c r="A878" s="26"/>
      <c r="B878" s="27"/>
      <c r="C878" s="27"/>
      <c r="D878" s="27"/>
      <c r="E878" s="27"/>
      <c r="F878" s="27"/>
      <c r="G878" s="27"/>
      <c r="H878" s="27"/>
    </row>
    <row r="879" spans="1:8" ht="15.75" customHeight="1" x14ac:dyDescent="0.3">
      <c r="A879" s="26"/>
      <c r="B879" s="27"/>
      <c r="C879" s="27"/>
      <c r="D879" s="27"/>
      <c r="E879" s="27"/>
      <c r="F879" s="27"/>
      <c r="G879" s="27"/>
      <c r="H879" s="27"/>
    </row>
    <row r="880" spans="1:8" ht="15.75" customHeight="1" x14ac:dyDescent="0.3">
      <c r="A880" s="26"/>
      <c r="B880" s="27"/>
      <c r="C880" s="27"/>
      <c r="D880" s="27"/>
      <c r="E880" s="27"/>
      <c r="F880" s="27"/>
      <c r="G880" s="27"/>
      <c r="H880" s="27"/>
    </row>
    <row r="881" spans="1:8" ht="15.75" customHeight="1" x14ac:dyDescent="0.3">
      <c r="A881" s="26"/>
      <c r="B881" s="27"/>
      <c r="C881" s="27"/>
      <c r="D881" s="27"/>
      <c r="E881" s="27"/>
      <c r="F881" s="27"/>
      <c r="G881" s="27"/>
      <c r="H881" s="27"/>
    </row>
    <row r="882" spans="1:8" ht="15.75" customHeight="1" x14ac:dyDescent="0.3">
      <c r="A882" s="26"/>
      <c r="B882" s="27"/>
      <c r="C882" s="27"/>
      <c r="D882" s="27"/>
      <c r="E882" s="27"/>
      <c r="F882" s="27"/>
      <c r="G882" s="27"/>
      <c r="H882" s="27"/>
    </row>
    <row r="883" spans="1:8" ht="15.75" customHeight="1" x14ac:dyDescent="0.3">
      <c r="A883" s="26"/>
      <c r="B883" s="27"/>
      <c r="C883" s="27"/>
      <c r="D883" s="27"/>
      <c r="E883" s="27"/>
      <c r="F883" s="27"/>
      <c r="G883" s="27"/>
      <c r="H883" s="27"/>
    </row>
    <row r="884" spans="1:8" ht="15.75" customHeight="1" x14ac:dyDescent="0.3">
      <c r="A884" s="26"/>
      <c r="B884" s="27"/>
      <c r="C884" s="27"/>
      <c r="D884" s="27"/>
      <c r="E884" s="27"/>
      <c r="F884" s="27"/>
      <c r="G884" s="27"/>
      <c r="H884" s="27"/>
    </row>
    <row r="885" spans="1:8" ht="15.75" customHeight="1" x14ac:dyDescent="0.3">
      <c r="A885" s="26"/>
      <c r="B885" s="27"/>
      <c r="C885" s="27"/>
      <c r="D885" s="27"/>
      <c r="E885" s="27"/>
      <c r="F885" s="27"/>
      <c r="G885" s="27"/>
      <c r="H885" s="27"/>
    </row>
    <row r="886" spans="1:8" ht="15.75" customHeight="1" x14ac:dyDescent="0.3">
      <c r="A886" s="26"/>
      <c r="B886" s="27"/>
      <c r="C886" s="27"/>
      <c r="D886" s="27"/>
      <c r="E886" s="27"/>
      <c r="F886" s="27"/>
      <c r="G886" s="27"/>
      <c r="H886" s="27"/>
    </row>
    <row r="887" spans="1:8" ht="15.75" customHeight="1" x14ac:dyDescent="0.3">
      <c r="A887" s="26"/>
      <c r="B887" s="27"/>
      <c r="C887" s="27"/>
      <c r="D887" s="27"/>
      <c r="E887" s="27"/>
      <c r="F887" s="27"/>
      <c r="G887" s="27"/>
      <c r="H887" s="27"/>
    </row>
    <row r="888" spans="1:8" ht="15.75" customHeight="1" x14ac:dyDescent="0.3">
      <c r="A888" s="26"/>
      <c r="B888" s="27"/>
      <c r="C888" s="27"/>
      <c r="D888" s="27"/>
      <c r="E888" s="27"/>
      <c r="F888" s="27"/>
      <c r="G888" s="27"/>
      <c r="H888" s="27"/>
    </row>
    <row r="889" spans="1:8" ht="15.75" customHeight="1" x14ac:dyDescent="0.3">
      <c r="A889" s="26"/>
      <c r="B889" s="27"/>
      <c r="C889" s="27"/>
      <c r="D889" s="27"/>
      <c r="E889" s="27"/>
      <c r="F889" s="27"/>
      <c r="G889" s="27"/>
      <c r="H889" s="27"/>
    </row>
    <row r="890" spans="1:8" ht="15.75" customHeight="1" x14ac:dyDescent="0.3">
      <c r="A890" s="26"/>
      <c r="B890" s="27"/>
      <c r="C890" s="27"/>
      <c r="D890" s="27"/>
      <c r="E890" s="27"/>
      <c r="F890" s="27"/>
      <c r="G890" s="27"/>
      <c r="H890" s="27"/>
    </row>
    <row r="891" spans="1:8" ht="15.75" customHeight="1" x14ac:dyDescent="0.3">
      <c r="A891" s="26"/>
      <c r="B891" s="27"/>
      <c r="C891" s="27"/>
      <c r="D891" s="27"/>
      <c r="E891" s="27"/>
      <c r="F891" s="27"/>
      <c r="G891" s="27"/>
      <c r="H891" s="27"/>
    </row>
    <row r="892" spans="1:8" ht="15.75" customHeight="1" x14ac:dyDescent="0.3">
      <c r="A892" s="26"/>
      <c r="B892" s="27"/>
      <c r="C892" s="27"/>
      <c r="D892" s="27"/>
      <c r="E892" s="27"/>
      <c r="F892" s="27"/>
      <c r="G892" s="27"/>
      <c r="H892" s="27"/>
    </row>
    <row r="893" spans="1:8" ht="15.75" customHeight="1" x14ac:dyDescent="0.3">
      <c r="A893" s="26"/>
      <c r="B893" s="27"/>
      <c r="C893" s="27"/>
      <c r="D893" s="27"/>
      <c r="E893" s="27"/>
      <c r="F893" s="27"/>
      <c r="G893" s="27"/>
      <c r="H893" s="27"/>
    </row>
    <row r="894" spans="1:8" ht="15.75" customHeight="1" x14ac:dyDescent="0.3">
      <c r="A894" s="26"/>
      <c r="B894" s="27"/>
      <c r="C894" s="27"/>
      <c r="D894" s="27"/>
      <c r="E894" s="27"/>
      <c r="F894" s="27"/>
      <c r="G894" s="27"/>
      <c r="H894" s="27"/>
    </row>
    <row r="895" spans="1:8" ht="15.75" customHeight="1" x14ac:dyDescent="0.3">
      <c r="A895" s="26"/>
      <c r="B895" s="27"/>
      <c r="C895" s="27"/>
      <c r="D895" s="27"/>
      <c r="E895" s="27"/>
      <c r="F895" s="27"/>
      <c r="G895" s="27"/>
      <c r="H895" s="27"/>
    </row>
    <row r="896" spans="1:8" ht="15.75" customHeight="1" x14ac:dyDescent="0.3">
      <c r="A896" s="26"/>
      <c r="B896" s="27"/>
      <c r="C896" s="27"/>
      <c r="D896" s="27"/>
      <c r="E896" s="27"/>
      <c r="F896" s="27"/>
      <c r="G896" s="27"/>
      <c r="H896" s="27"/>
    </row>
    <row r="897" spans="1:8" ht="15.75" customHeight="1" x14ac:dyDescent="0.3">
      <c r="A897" s="26"/>
      <c r="B897" s="27"/>
      <c r="C897" s="27"/>
      <c r="D897" s="27"/>
      <c r="E897" s="27"/>
      <c r="F897" s="27"/>
      <c r="G897" s="27"/>
      <c r="H897" s="27"/>
    </row>
    <row r="898" spans="1:8" ht="15.75" customHeight="1" x14ac:dyDescent="0.3">
      <c r="A898" s="26"/>
      <c r="B898" s="27"/>
      <c r="C898" s="27"/>
      <c r="D898" s="27"/>
      <c r="E898" s="27"/>
      <c r="F898" s="27"/>
      <c r="G898" s="27"/>
      <c r="H898" s="27"/>
    </row>
    <row r="899" spans="1:8" ht="15.75" customHeight="1" x14ac:dyDescent="0.3">
      <c r="A899" s="26"/>
      <c r="B899" s="27"/>
      <c r="C899" s="27"/>
      <c r="D899" s="27"/>
      <c r="E899" s="27"/>
      <c r="F899" s="27"/>
      <c r="G899" s="27"/>
      <c r="H899" s="27"/>
    </row>
    <row r="900" spans="1:8" ht="15.75" customHeight="1" x14ac:dyDescent="0.3">
      <c r="A900" s="26"/>
      <c r="B900" s="27"/>
      <c r="C900" s="27"/>
      <c r="D900" s="27"/>
      <c r="E900" s="27"/>
      <c r="F900" s="27"/>
      <c r="G900" s="27"/>
      <c r="H900" s="27"/>
    </row>
    <row r="901" spans="1:8" ht="15.75" customHeight="1" x14ac:dyDescent="0.3">
      <c r="A901" s="26"/>
      <c r="B901" s="27"/>
      <c r="C901" s="27"/>
      <c r="D901" s="27"/>
      <c r="E901" s="27"/>
      <c r="F901" s="27"/>
      <c r="G901" s="27"/>
      <c r="H901" s="27"/>
    </row>
    <row r="902" spans="1:8" ht="15.75" customHeight="1" x14ac:dyDescent="0.3">
      <c r="A902" s="26"/>
      <c r="B902" s="27"/>
      <c r="C902" s="27"/>
      <c r="D902" s="27"/>
      <c r="E902" s="27"/>
      <c r="F902" s="27"/>
      <c r="G902" s="27"/>
      <c r="H902" s="27"/>
    </row>
    <row r="903" spans="1:8" ht="15.75" customHeight="1" x14ac:dyDescent="0.3">
      <c r="A903" s="26"/>
      <c r="B903" s="27"/>
      <c r="C903" s="27"/>
      <c r="D903" s="27"/>
      <c r="E903" s="27"/>
      <c r="F903" s="27"/>
      <c r="G903" s="27"/>
      <c r="H903" s="27"/>
    </row>
    <row r="904" spans="1:8" ht="15.75" customHeight="1" x14ac:dyDescent="0.3">
      <c r="A904" s="26"/>
      <c r="B904" s="27"/>
      <c r="C904" s="27"/>
      <c r="D904" s="27"/>
      <c r="E904" s="27"/>
      <c r="F904" s="27"/>
      <c r="G904" s="27"/>
      <c r="H904" s="27"/>
    </row>
    <row r="905" spans="1:8" ht="15.75" customHeight="1" x14ac:dyDescent="0.3">
      <c r="A905" s="26"/>
      <c r="B905" s="27"/>
      <c r="C905" s="27"/>
      <c r="D905" s="27"/>
      <c r="E905" s="27"/>
      <c r="F905" s="27"/>
      <c r="G905" s="27"/>
      <c r="H905" s="27"/>
    </row>
    <row r="906" spans="1:8" ht="15.75" customHeight="1" x14ac:dyDescent="0.3">
      <c r="A906" s="26"/>
      <c r="B906" s="27"/>
      <c r="C906" s="27"/>
      <c r="D906" s="27"/>
      <c r="E906" s="27"/>
      <c r="F906" s="27"/>
      <c r="G906" s="27"/>
      <c r="H906" s="27"/>
    </row>
    <row r="907" spans="1:8" ht="15.75" customHeight="1" x14ac:dyDescent="0.3">
      <c r="A907" s="26"/>
      <c r="B907" s="27"/>
      <c r="C907" s="27"/>
      <c r="D907" s="27"/>
      <c r="E907" s="27"/>
      <c r="F907" s="27"/>
      <c r="G907" s="27"/>
      <c r="H907" s="27"/>
    </row>
    <row r="908" spans="1:8" ht="15.75" customHeight="1" x14ac:dyDescent="0.3">
      <c r="A908" s="26"/>
      <c r="B908" s="27"/>
      <c r="C908" s="27"/>
      <c r="D908" s="27"/>
      <c r="E908" s="27"/>
      <c r="F908" s="27"/>
      <c r="G908" s="27"/>
      <c r="H908" s="27"/>
    </row>
    <row r="909" spans="1:8" ht="15.75" customHeight="1" x14ac:dyDescent="0.3">
      <c r="A909" s="26"/>
      <c r="B909" s="27"/>
      <c r="C909" s="27"/>
      <c r="D909" s="27"/>
      <c r="E909" s="27"/>
      <c r="F909" s="27"/>
      <c r="G909" s="27"/>
      <c r="H909" s="27"/>
    </row>
    <row r="910" spans="1:8" ht="15.75" customHeight="1" x14ac:dyDescent="0.3">
      <c r="A910" s="26"/>
      <c r="B910" s="27"/>
      <c r="C910" s="27"/>
      <c r="D910" s="27"/>
      <c r="E910" s="27"/>
      <c r="F910" s="27"/>
      <c r="G910" s="27"/>
      <c r="H910" s="27"/>
    </row>
    <row r="911" spans="1:8" ht="15.75" customHeight="1" x14ac:dyDescent="0.3">
      <c r="A911" s="26"/>
      <c r="B911" s="27"/>
      <c r="C911" s="27"/>
      <c r="D911" s="27"/>
      <c r="E911" s="27"/>
      <c r="F911" s="27"/>
      <c r="G911" s="27"/>
      <c r="H911" s="27"/>
    </row>
    <row r="912" spans="1:8" ht="15.75" customHeight="1" x14ac:dyDescent="0.3">
      <c r="A912" s="26"/>
      <c r="B912" s="27"/>
      <c r="C912" s="27"/>
      <c r="D912" s="27"/>
      <c r="E912" s="27"/>
      <c r="F912" s="27"/>
      <c r="G912" s="27"/>
      <c r="H912" s="27"/>
    </row>
    <row r="913" spans="1:8" ht="15.75" customHeight="1" x14ac:dyDescent="0.3">
      <c r="A913" s="26"/>
      <c r="B913" s="27"/>
      <c r="C913" s="27"/>
      <c r="D913" s="27"/>
      <c r="E913" s="27"/>
      <c r="F913" s="27"/>
      <c r="G913" s="27"/>
      <c r="H913" s="27"/>
    </row>
    <row r="914" spans="1:8" ht="15.75" customHeight="1" x14ac:dyDescent="0.3">
      <c r="A914" s="26"/>
      <c r="B914" s="27"/>
      <c r="C914" s="27"/>
      <c r="D914" s="27"/>
      <c r="E914" s="27"/>
      <c r="F914" s="27"/>
      <c r="G914" s="27"/>
      <c r="H914" s="27"/>
    </row>
    <row r="915" spans="1:8" ht="15.75" customHeight="1" x14ac:dyDescent="0.3">
      <c r="A915" s="26"/>
      <c r="B915" s="27"/>
      <c r="C915" s="27"/>
      <c r="D915" s="27"/>
      <c r="E915" s="27"/>
      <c r="F915" s="27"/>
      <c r="G915" s="27"/>
      <c r="H915" s="27"/>
    </row>
    <row r="916" spans="1:8" ht="15.75" customHeight="1" x14ac:dyDescent="0.3">
      <c r="A916" s="26"/>
      <c r="B916" s="27"/>
      <c r="C916" s="27"/>
      <c r="D916" s="27"/>
      <c r="E916" s="27"/>
      <c r="F916" s="27"/>
      <c r="G916" s="27"/>
      <c r="H916" s="27"/>
    </row>
    <row r="917" spans="1:8" ht="15.75" customHeight="1" x14ac:dyDescent="0.3">
      <c r="A917" s="26"/>
      <c r="B917" s="27"/>
      <c r="C917" s="27"/>
      <c r="D917" s="27"/>
      <c r="E917" s="27"/>
      <c r="F917" s="27"/>
      <c r="G917" s="27"/>
      <c r="H917" s="27"/>
    </row>
    <row r="918" spans="1:8" ht="15.75" customHeight="1" x14ac:dyDescent="0.3">
      <c r="A918" s="26"/>
      <c r="B918" s="27"/>
      <c r="C918" s="27"/>
      <c r="D918" s="27"/>
      <c r="E918" s="27"/>
      <c r="F918" s="27"/>
      <c r="G918" s="27"/>
      <c r="H918" s="27"/>
    </row>
    <row r="919" spans="1:8" ht="15.75" customHeight="1" x14ac:dyDescent="0.3">
      <c r="A919" s="26"/>
      <c r="B919" s="27"/>
      <c r="C919" s="27"/>
      <c r="D919" s="27"/>
      <c r="E919" s="27"/>
      <c r="F919" s="27"/>
      <c r="G919" s="27"/>
      <c r="H919" s="27"/>
    </row>
    <row r="920" spans="1:8" ht="15.75" customHeight="1" x14ac:dyDescent="0.3">
      <c r="A920" s="26"/>
      <c r="B920" s="27"/>
      <c r="C920" s="27"/>
      <c r="D920" s="27"/>
      <c r="E920" s="27"/>
      <c r="F920" s="27"/>
      <c r="G920" s="27"/>
      <c r="H920" s="27"/>
    </row>
    <row r="921" spans="1:8" ht="15.75" customHeight="1" x14ac:dyDescent="0.3">
      <c r="A921" s="26"/>
      <c r="B921" s="27"/>
      <c r="C921" s="27"/>
      <c r="D921" s="27"/>
      <c r="E921" s="27"/>
      <c r="F921" s="27"/>
      <c r="G921" s="27"/>
      <c r="H921" s="27"/>
    </row>
    <row r="922" spans="1:8" ht="15.75" customHeight="1" x14ac:dyDescent="0.3">
      <c r="A922" s="26"/>
      <c r="B922" s="27"/>
      <c r="C922" s="27"/>
      <c r="D922" s="27"/>
      <c r="E922" s="27"/>
      <c r="F922" s="27"/>
      <c r="G922" s="27"/>
      <c r="H922" s="27"/>
    </row>
    <row r="923" spans="1:8" ht="15.75" customHeight="1" x14ac:dyDescent="0.3">
      <c r="A923" s="26"/>
      <c r="B923" s="27"/>
      <c r="C923" s="27"/>
      <c r="D923" s="27"/>
      <c r="E923" s="27"/>
      <c r="F923" s="27"/>
      <c r="G923" s="27"/>
      <c r="H923" s="27"/>
    </row>
    <row r="924" spans="1:8" ht="15.75" customHeight="1" x14ac:dyDescent="0.3">
      <c r="A924" s="26"/>
      <c r="B924" s="27"/>
      <c r="C924" s="27"/>
      <c r="D924" s="27"/>
      <c r="E924" s="27"/>
      <c r="F924" s="27"/>
      <c r="G924" s="27"/>
      <c r="H924" s="27"/>
    </row>
    <row r="925" spans="1:8" ht="15.75" customHeight="1" x14ac:dyDescent="0.3">
      <c r="A925" s="26"/>
      <c r="B925" s="27"/>
      <c r="C925" s="27"/>
      <c r="D925" s="27"/>
      <c r="E925" s="27"/>
      <c r="F925" s="27"/>
      <c r="G925" s="27"/>
      <c r="H925" s="27"/>
    </row>
    <row r="926" spans="1:8" ht="15.75" customHeight="1" x14ac:dyDescent="0.3">
      <c r="A926" s="26"/>
      <c r="B926" s="27"/>
      <c r="C926" s="27"/>
      <c r="D926" s="27"/>
      <c r="E926" s="27"/>
      <c r="F926" s="27"/>
      <c r="G926" s="27"/>
      <c r="H926" s="27"/>
    </row>
    <row r="927" spans="1:8" ht="15.75" customHeight="1" x14ac:dyDescent="0.3">
      <c r="A927" s="26"/>
      <c r="B927" s="27"/>
      <c r="C927" s="27"/>
      <c r="D927" s="27"/>
      <c r="E927" s="27"/>
      <c r="F927" s="27"/>
      <c r="G927" s="27"/>
      <c r="H927" s="27"/>
    </row>
    <row r="928" spans="1:8" ht="15.75" customHeight="1" x14ac:dyDescent="0.3">
      <c r="A928" s="26"/>
      <c r="B928" s="27"/>
      <c r="C928" s="27"/>
      <c r="D928" s="27"/>
      <c r="E928" s="27"/>
      <c r="F928" s="27"/>
      <c r="G928" s="27"/>
      <c r="H928" s="27"/>
    </row>
    <row r="929" spans="1:8" ht="15.75" customHeight="1" x14ac:dyDescent="0.3">
      <c r="A929" s="26"/>
      <c r="B929" s="27"/>
      <c r="C929" s="27"/>
      <c r="D929" s="27"/>
      <c r="E929" s="27"/>
      <c r="F929" s="27"/>
      <c r="G929" s="27"/>
      <c r="H929" s="27"/>
    </row>
    <row r="930" spans="1:8" ht="15.75" customHeight="1" x14ac:dyDescent="0.3">
      <c r="A930" s="26"/>
      <c r="B930" s="27"/>
      <c r="C930" s="27"/>
      <c r="D930" s="27"/>
      <c r="E930" s="27"/>
      <c r="F930" s="27"/>
      <c r="G930" s="27"/>
      <c r="H930" s="27"/>
    </row>
    <row r="931" spans="1:8" ht="15.75" customHeight="1" x14ac:dyDescent="0.3">
      <c r="A931" s="26"/>
      <c r="B931" s="27"/>
      <c r="C931" s="27"/>
      <c r="D931" s="27"/>
      <c r="E931" s="27"/>
      <c r="F931" s="27"/>
      <c r="G931" s="27"/>
      <c r="H931" s="27"/>
    </row>
    <row r="932" spans="1:8" ht="15.75" customHeight="1" x14ac:dyDescent="0.3">
      <c r="A932" s="26"/>
      <c r="B932" s="27"/>
      <c r="C932" s="27"/>
      <c r="D932" s="27"/>
      <c r="E932" s="27"/>
      <c r="F932" s="27"/>
      <c r="G932" s="27"/>
      <c r="H932" s="27"/>
    </row>
    <row r="933" spans="1:8" ht="15.75" customHeight="1" x14ac:dyDescent="0.3">
      <c r="A933" s="26"/>
      <c r="B933" s="27"/>
      <c r="C933" s="27"/>
      <c r="D933" s="27"/>
      <c r="E933" s="27"/>
      <c r="F933" s="27"/>
      <c r="G933" s="27"/>
      <c r="H933" s="27"/>
    </row>
    <row r="934" spans="1:8" ht="15.75" customHeight="1" x14ac:dyDescent="0.3">
      <c r="A934" s="26"/>
      <c r="B934" s="27"/>
      <c r="C934" s="27"/>
      <c r="D934" s="27"/>
      <c r="E934" s="27"/>
      <c r="F934" s="27"/>
      <c r="G934" s="27"/>
      <c r="H934" s="27"/>
    </row>
    <row r="935" spans="1:8" ht="15.75" customHeight="1" x14ac:dyDescent="0.3">
      <c r="A935" s="26"/>
      <c r="B935" s="27"/>
      <c r="C935" s="27"/>
      <c r="D935" s="27"/>
      <c r="E935" s="27"/>
      <c r="F935" s="27"/>
      <c r="G935" s="27"/>
      <c r="H935" s="27"/>
    </row>
    <row r="936" spans="1:8" ht="15.75" customHeight="1" x14ac:dyDescent="0.3">
      <c r="A936" s="26"/>
      <c r="B936" s="27"/>
      <c r="C936" s="27"/>
      <c r="D936" s="27"/>
      <c r="E936" s="27"/>
      <c r="F936" s="27"/>
      <c r="G936" s="27"/>
      <c r="H936" s="27"/>
    </row>
    <row r="937" spans="1:8" ht="15.75" customHeight="1" x14ac:dyDescent="0.3">
      <c r="A937" s="26"/>
      <c r="B937" s="27"/>
      <c r="C937" s="27"/>
      <c r="D937" s="27"/>
      <c r="E937" s="27"/>
      <c r="F937" s="27"/>
      <c r="G937" s="27"/>
      <c r="H937" s="27"/>
    </row>
    <row r="938" spans="1:8" ht="15.75" customHeight="1" x14ac:dyDescent="0.3">
      <c r="A938" s="26"/>
      <c r="B938" s="27"/>
      <c r="C938" s="27"/>
      <c r="D938" s="27"/>
      <c r="E938" s="27"/>
      <c r="F938" s="27"/>
      <c r="G938" s="27"/>
      <c r="H938" s="27"/>
    </row>
    <row r="939" spans="1:8" ht="15.75" customHeight="1" x14ac:dyDescent="0.3">
      <c r="A939" s="26"/>
      <c r="B939" s="27"/>
      <c r="C939" s="27"/>
      <c r="D939" s="27"/>
      <c r="E939" s="27"/>
      <c r="F939" s="27"/>
      <c r="G939" s="27"/>
      <c r="H939" s="27"/>
    </row>
    <row r="940" spans="1:8" ht="15.75" customHeight="1" x14ac:dyDescent="0.3">
      <c r="A940" s="26"/>
      <c r="B940" s="27"/>
      <c r="C940" s="27"/>
      <c r="D940" s="27"/>
      <c r="E940" s="27"/>
      <c r="F940" s="27"/>
      <c r="G940" s="27"/>
      <c r="H940" s="27"/>
    </row>
    <row r="941" spans="1:8" ht="15.75" customHeight="1" x14ac:dyDescent="0.3">
      <c r="A941" s="26"/>
      <c r="B941" s="27"/>
      <c r="C941" s="27"/>
      <c r="D941" s="27"/>
      <c r="E941" s="27"/>
      <c r="F941" s="27"/>
      <c r="G941" s="27"/>
      <c r="H941" s="27"/>
    </row>
    <row r="942" spans="1:8" ht="15.75" customHeight="1" x14ac:dyDescent="0.3">
      <c r="A942" s="26"/>
      <c r="B942" s="27"/>
      <c r="C942" s="27"/>
      <c r="D942" s="27"/>
      <c r="E942" s="27"/>
      <c r="F942" s="27"/>
      <c r="G942" s="27"/>
      <c r="H942" s="27"/>
    </row>
    <row r="943" spans="1:8" ht="15.75" customHeight="1" x14ac:dyDescent="0.3">
      <c r="A943" s="26"/>
      <c r="B943" s="27"/>
      <c r="C943" s="27"/>
      <c r="D943" s="27"/>
      <c r="E943" s="27"/>
      <c r="F943" s="27"/>
      <c r="G943" s="27"/>
      <c r="H943" s="27"/>
    </row>
    <row r="944" spans="1:8" ht="15.75" customHeight="1" x14ac:dyDescent="0.3">
      <c r="A944" s="26"/>
      <c r="B944" s="27"/>
      <c r="C944" s="27"/>
      <c r="D944" s="27"/>
      <c r="E944" s="27"/>
      <c r="F944" s="27"/>
      <c r="G944" s="27"/>
      <c r="H944" s="27"/>
    </row>
    <row r="945" spans="1:8" ht="15.75" customHeight="1" x14ac:dyDescent="0.3">
      <c r="A945" s="26"/>
      <c r="B945" s="27"/>
      <c r="C945" s="27"/>
      <c r="D945" s="27"/>
      <c r="E945" s="27"/>
      <c r="F945" s="27"/>
      <c r="G945" s="27"/>
      <c r="H945" s="27"/>
    </row>
    <row r="946" spans="1:8" ht="15.75" customHeight="1" x14ac:dyDescent="0.3">
      <c r="A946" s="26"/>
      <c r="B946" s="27"/>
      <c r="C946" s="27"/>
      <c r="D946" s="27"/>
      <c r="E946" s="27"/>
      <c r="F946" s="27"/>
      <c r="G946" s="27"/>
      <c r="H946" s="27"/>
    </row>
    <row r="947" spans="1:8" ht="15.75" customHeight="1" x14ac:dyDescent="0.3">
      <c r="A947" s="26"/>
      <c r="B947" s="27"/>
      <c r="C947" s="27"/>
      <c r="D947" s="27"/>
      <c r="E947" s="27"/>
      <c r="F947" s="27"/>
      <c r="G947" s="27"/>
      <c r="H947" s="27"/>
    </row>
    <row r="948" spans="1:8" ht="15.75" customHeight="1" x14ac:dyDescent="0.3">
      <c r="A948" s="26"/>
      <c r="B948" s="27"/>
      <c r="C948" s="27"/>
      <c r="D948" s="27"/>
      <c r="E948" s="27"/>
      <c r="F948" s="27"/>
      <c r="G948" s="27"/>
      <c r="H948" s="27"/>
    </row>
    <row r="949" spans="1:8" ht="15.75" customHeight="1" x14ac:dyDescent="0.3">
      <c r="A949" s="26"/>
      <c r="B949" s="27"/>
      <c r="C949" s="27"/>
      <c r="D949" s="27"/>
      <c r="E949" s="27"/>
      <c r="F949" s="27"/>
      <c r="G949" s="27"/>
      <c r="H949" s="27"/>
    </row>
    <row r="950" spans="1:8" ht="15.75" customHeight="1" x14ac:dyDescent="0.3">
      <c r="A950" s="26"/>
      <c r="B950" s="27"/>
      <c r="C950" s="27"/>
      <c r="D950" s="27"/>
      <c r="E950" s="27"/>
      <c r="F950" s="27"/>
      <c r="G950" s="27"/>
      <c r="H950" s="27"/>
    </row>
    <row r="951" spans="1:8" ht="15.75" customHeight="1" x14ac:dyDescent="0.3">
      <c r="A951" s="26"/>
      <c r="B951" s="27"/>
      <c r="C951" s="27"/>
      <c r="D951" s="27"/>
      <c r="E951" s="27"/>
      <c r="F951" s="27"/>
      <c r="G951" s="27"/>
      <c r="H951" s="27"/>
    </row>
    <row r="952" spans="1:8" ht="15.75" customHeight="1" x14ac:dyDescent="0.3">
      <c r="A952" s="26"/>
      <c r="B952" s="27"/>
      <c r="C952" s="27"/>
      <c r="D952" s="27"/>
      <c r="E952" s="27"/>
      <c r="F952" s="27"/>
      <c r="G952" s="27"/>
      <c r="H952" s="27"/>
    </row>
    <row r="953" spans="1:8" ht="15.75" customHeight="1" x14ac:dyDescent="0.3">
      <c r="A953" s="26"/>
      <c r="B953" s="27"/>
      <c r="C953" s="27"/>
      <c r="D953" s="27"/>
      <c r="E953" s="27"/>
      <c r="F953" s="27"/>
      <c r="G953" s="27"/>
      <c r="H953" s="27"/>
    </row>
    <row r="954" spans="1:8" ht="15.75" customHeight="1" x14ac:dyDescent="0.3">
      <c r="A954" s="26"/>
      <c r="B954" s="27"/>
      <c r="C954" s="27"/>
      <c r="D954" s="27"/>
      <c r="E954" s="27"/>
      <c r="F954" s="27"/>
      <c r="G954" s="27"/>
      <c r="H954" s="27"/>
    </row>
    <row r="955" spans="1:8" ht="15.75" customHeight="1" x14ac:dyDescent="0.3">
      <c r="A955" s="26"/>
      <c r="B955" s="27"/>
      <c r="C955" s="27"/>
      <c r="D955" s="27"/>
      <c r="E955" s="27"/>
      <c r="F955" s="27"/>
      <c r="G955" s="27"/>
      <c r="H955" s="27"/>
    </row>
    <row r="956" spans="1:8" ht="15.75" customHeight="1" x14ac:dyDescent="0.3">
      <c r="A956" s="26"/>
      <c r="B956" s="27"/>
      <c r="C956" s="27"/>
      <c r="D956" s="27"/>
      <c r="E956" s="27"/>
      <c r="F956" s="27"/>
      <c r="G956" s="27"/>
      <c r="H956" s="27"/>
    </row>
    <row r="957" spans="1:8" ht="15.75" customHeight="1" x14ac:dyDescent="0.3">
      <c r="A957" s="26"/>
      <c r="B957" s="27"/>
      <c r="C957" s="27"/>
      <c r="D957" s="27"/>
      <c r="E957" s="27"/>
      <c r="F957" s="27"/>
      <c r="G957" s="27"/>
      <c r="H957" s="27"/>
    </row>
    <row r="958" spans="1:8" ht="15.75" customHeight="1" x14ac:dyDescent="0.3">
      <c r="A958" s="26"/>
      <c r="B958" s="27"/>
      <c r="C958" s="27"/>
      <c r="D958" s="27"/>
      <c r="E958" s="27"/>
      <c r="F958" s="27"/>
      <c r="G958" s="27"/>
      <c r="H958" s="27"/>
    </row>
    <row r="959" spans="1:8" ht="15.75" customHeight="1" x14ac:dyDescent="0.3">
      <c r="A959" s="26"/>
      <c r="B959" s="27"/>
      <c r="C959" s="27"/>
      <c r="D959" s="27"/>
      <c r="E959" s="27"/>
      <c r="F959" s="27"/>
      <c r="G959" s="27"/>
      <c r="H959" s="27"/>
    </row>
    <row r="960" spans="1:8" ht="15.75" customHeight="1" x14ac:dyDescent="0.3">
      <c r="A960" s="26"/>
      <c r="B960" s="27"/>
      <c r="C960" s="27"/>
      <c r="D960" s="27"/>
      <c r="E960" s="27"/>
      <c r="F960" s="27"/>
      <c r="G960" s="27"/>
      <c r="H960" s="27"/>
    </row>
    <row r="961" spans="1:8" ht="15.75" customHeight="1" x14ac:dyDescent="0.3">
      <c r="A961" s="26"/>
      <c r="B961" s="27"/>
      <c r="C961" s="27"/>
      <c r="D961" s="27"/>
      <c r="E961" s="27"/>
      <c r="F961" s="27"/>
      <c r="G961" s="27"/>
      <c r="H961" s="27"/>
    </row>
    <row r="962" spans="1:8" ht="15.75" customHeight="1" x14ac:dyDescent="0.3">
      <c r="A962" s="26"/>
      <c r="B962" s="27"/>
      <c r="C962" s="27"/>
      <c r="D962" s="27"/>
      <c r="E962" s="27"/>
      <c r="F962" s="27"/>
      <c r="G962" s="27"/>
      <c r="H962" s="27"/>
    </row>
    <row r="963" spans="1:8" ht="15.75" customHeight="1" x14ac:dyDescent="0.3">
      <c r="A963" s="26"/>
      <c r="B963" s="27"/>
      <c r="C963" s="27"/>
      <c r="D963" s="27"/>
      <c r="E963" s="27"/>
      <c r="F963" s="27"/>
      <c r="G963" s="27"/>
      <c r="H963" s="27"/>
    </row>
    <row r="964" spans="1:8" ht="15.75" customHeight="1" x14ac:dyDescent="0.3">
      <c r="A964" s="26"/>
      <c r="B964" s="27"/>
      <c r="C964" s="27"/>
      <c r="D964" s="27"/>
      <c r="E964" s="27"/>
      <c r="F964" s="27"/>
      <c r="G964" s="27"/>
      <c r="H964" s="27"/>
    </row>
    <row r="965" spans="1:8" ht="15.75" customHeight="1" x14ac:dyDescent="0.3">
      <c r="A965" s="26"/>
      <c r="B965" s="27"/>
      <c r="C965" s="27"/>
      <c r="D965" s="27"/>
      <c r="E965" s="27"/>
      <c r="F965" s="27"/>
      <c r="G965" s="27"/>
      <c r="H965" s="27"/>
    </row>
    <row r="966" spans="1:8" ht="15.75" customHeight="1" x14ac:dyDescent="0.3">
      <c r="A966" s="26"/>
      <c r="B966" s="27"/>
      <c r="C966" s="27"/>
      <c r="D966" s="27"/>
      <c r="E966" s="27"/>
      <c r="F966" s="27"/>
      <c r="G966" s="27"/>
      <c r="H966" s="27"/>
    </row>
    <row r="967" spans="1:8" ht="15.75" customHeight="1" x14ac:dyDescent="0.3">
      <c r="A967" s="26"/>
      <c r="B967" s="27"/>
      <c r="C967" s="27"/>
      <c r="D967" s="27"/>
      <c r="E967" s="27"/>
      <c r="F967" s="27"/>
      <c r="G967" s="27"/>
      <c r="H967" s="27"/>
    </row>
    <row r="968" spans="1:8" ht="15.75" customHeight="1" x14ac:dyDescent="0.3">
      <c r="A968" s="26"/>
      <c r="B968" s="27"/>
      <c r="C968" s="27"/>
      <c r="D968" s="27"/>
      <c r="E968" s="27"/>
      <c r="F968" s="27"/>
      <c r="G968" s="27"/>
      <c r="H968" s="27"/>
    </row>
    <row r="969" spans="1:8" ht="15.75" customHeight="1" x14ac:dyDescent="0.3">
      <c r="A969" s="26"/>
      <c r="B969" s="27"/>
      <c r="C969" s="27"/>
      <c r="D969" s="27"/>
      <c r="E969" s="27"/>
      <c r="F969" s="27"/>
      <c r="G969" s="27"/>
      <c r="H969" s="27"/>
    </row>
    <row r="970" spans="1:8" ht="15.75" customHeight="1" x14ac:dyDescent="0.3">
      <c r="A970" s="26"/>
      <c r="B970" s="27"/>
      <c r="C970" s="27"/>
      <c r="D970" s="27"/>
      <c r="E970" s="27"/>
      <c r="F970" s="27"/>
      <c r="G970" s="27"/>
      <c r="H970" s="27"/>
    </row>
    <row r="971" spans="1:8" ht="15.75" customHeight="1" x14ac:dyDescent="0.3">
      <c r="A971" s="26"/>
      <c r="B971" s="27"/>
      <c r="C971" s="27"/>
      <c r="D971" s="27"/>
      <c r="E971" s="27"/>
      <c r="F971" s="27"/>
      <c r="G971" s="27"/>
      <c r="H971" s="27"/>
    </row>
    <row r="972" spans="1:8" ht="15.75" customHeight="1" x14ac:dyDescent="0.3">
      <c r="A972" s="26"/>
      <c r="B972" s="27"/>
      <c r="C972" s="27"/>
      <c r="D972" s="27"/>
      <c r="E972" s="27"/>
      <c r="F972" s="27"/>
      <c r="G972" s="27"/>
      <c r="H972" s="27"/>
    </row>
    <row r="973" spans="1:8" ht="15.75" customHeight="1" x14ac:dyDescent="0.3">
      <c r="A973" s="26"/>
      <c r="B973" s="27"/>
      <c r="C973" s="27"/>
      <c r="D973" s="27"/>
      <c r="E973" s="27"/>
      <c r="F973" s="27"/>
      <c r="G973" s="27"/>
      <c r="H973" s="27"/>
    </row>
    <row r="974" spans="1:8" ht="15.75" customHeight="1" x14ac:dyDescent="0.3">
      <c r="A974" s="26"/>
      <c r="B974" s="27"/>
      <c r="C974" s="27"/>
      <c r="D974" s="27"/>
      <c r="E974" s="27"/>
      <c r="F974" s="27"/>
      <c r="G974" s="27"/>
      <c r="H974" s="27"/>
    </row>
    <row r="975" spans="1:8" ht="15.75" customHeight="1" x14ac:dyDescent="0.3">
      <c r="A975" s="26"/>
      <c r="B975" s="27"/>
      <c r="C975" s="27"/>
      <c r="D975" s="27"/>
      <c r="E975" s="27"/>
      <c r="F975" s="27"/>
      <c r="G975" s="27"/>
      <c r="H975" s="27"/>
    </row>
    <row r="976" spans="1:8" ht="15.75" customHeight="1" x14ac:dyDescent="0.3">
      <c r="A976" s="26"/>
      <c r="B976" s="27"/>
      <c r="C976" s="27"/>
      <c r="D976" s="27"/>
      <c r="E976" s="27"/>
      <c r="F976" s="27"/>
      <c r="G976" s="27"/>
      <c r="H976" s="27"/>
    </row>
    <row r="977" spans="1:8" ht="15.75" customHeight="1" x14ac:dyDescent="0.3">
      <c r="A977" s="26"/>
      <c r="B977" s="27"/>
      <c r="C977" s="27"/>
      <c r="D977" s="27"/>
      <c r="E977" s="27"/>
      <c r="F977" s="27"/>
      <c r="G977" s="27"/>
      <c r="H977" s="27"/>
    </row>
    <row r="978" spans="1:8" ht="15.75" customHeight="1" x14ac:dyDescent="0.3">
      <c r="A978" s="26"/>
      <c r="B978" s="27"/>
      <c r="C978" s="27"/>
      <c r="D978" s="27"/>
      <c r="E978" s="27"/>
      <c r="F978" s="27"/>
      <c r="G978" s="27"/>
      <c r="H978" s="27"/>
    </row>
    <row r="979" spans="1:8" ht="15.75" customHeight="1" x14ac:dyDescent="0.3">
      <c r="A979" s="26"/>
      <c r="B979" s="27"/>
      <c r="C979" s="27"/>
      <c r="D979" s="27"/>
      <c r="E979" s="27"/>
      <c r="F979" s="27"/>
      <c r="G979" s="27"/>
      <c r="H979" s="27"/>
    </row>
    <row r="980" spans="1:8" ht="15.75" customHeight="1" x14ac:dyDescent="0.3">
      <c r="A980" s="26"/>
      <c r="B980" s="27"/>
      <c r="C980" s="27"/>
      <c r="D980" s="27"/>
      <c r="E980" s="27"/>
      <c r="F980" s="27"/>
      <c r="G980" s="27"/>
      <c r="H980" s="27"/>
    </row>
    <row r="981" spans="1:8" ht="15.75" customHeight="1" x14ac:dyDescent="0.3">
      <c r="A981" s="26"/>
      <c r="B981" s="27"/>
      <c r="C981" s="27"/>
      <c r="D981" s="27"/>
      <c r="E981" s="27"/>
      <c r="F981" s="27"/>
      <c r="G981" s="27"/>
      <c r="H981" s="27"/>
    </row>
    <row r="982" spans="1:8" ht="15.75" customHeight="1" x14ac:dyDescent="0.3">
      <c r="A982" s="26"/>
      <c r="B982" s="27"/>
      <c r="C982" s="27"/>
      <c r="D982" s="27"/>
      <c r="E982" s="27"/>
      <c r="F982" s="27"/>
      <c r="G982" s="27"/>
      <c r="H982" s="27"/>
    </row>
    <row r="983" spans="1:8" ht="15.75" customHeight="1" x14ac:dyDescent="0.3">
      <c r="A983" s="26"/>
      <c r="B983" s="27"/>
      <c r="C983" s="27"/>
      <c r="D983" s="27"/>
      <c r="E983" s="27"/>
      <c r="F983" s="27"/>
      <c r="G983" s="27"/>
      <c r="H983" s="27"/>
    </row>
    <row r="984" spans="1:8" ht="15.75" customHeight="1" x14ac:dyDescent="0.3">
      <c r="A984" s="26"/>
      <c r="B984" s="27"/>
      <c r="C984" s="27"/>
      <c r="D984" s="27"/>
      <c r="E984" s="27"/>
      <c r="F984" s="27"/>
      <c r="G984" s="27"/>
      <c r="H984" s="27"/>
    </row>
    <row r="985" spans="1:8" ht="15.75" customHeight="1" x14ac:dyDescent="0.3">
      <c r="A985" s="26"/>
      <c r="B985" s="27"/>
      <c r="C985" s="27"/>
      <c r="D985" s="27"/>
      <c r="E985" s="27"/>
      <c r="F985" s="27"/>
      <c r="G985" s="27"/>
      <c r="H985" s="27"/>
    </row>
    <row r="986" spans="1:8" ht="15.75" customHeight="1" x14ac:dyDescent="0.3">
      <c r="A986" s="26"/>
      <c r="B986" s="27"/>
      <c r="C986" s="27"/>
      <c r="D986" s="27"/>
      <c r="E986" s="27"/>
      <c r="F986" s="27"/>
      <c r="G986" s="27"/>
      <c r="H986" s="27"/>
    </row>
    <row r="987" spans="1:8" ht="15.75" customHeight="1" x14ac:dyDescent="0.3">
      <c r="A987" s="26"/>
      <c r="B987" s="27"/>
      <c r="C987" s="27"/>
      <c r="D987" s="27"/>
      <c r="E987" s="27"/>
      <c r="F987" s="27"/>
      <c r="G987" s="27"/>
      <c r="H987" s="27"/>
    </row>
    <row r="988" spans="1:8" ht="15.75" customHeight="1" x14ac:dyDescent="0.3">
      <c r="A988" s="26"/>
      <c r="B988" s="27"/>
      <c r="C988" s="27"/>
      <c r="D988" s="27"/>
      <c r="E988" s="27"/>
      <c r="F988" s="27"/>
      <c r="G988" s="27"/>
      <c r="H988" s="27"/>
    </row>
    <row r="989" spans="1:8" ht="15.75" customHeight="1" x14ac:dyDescent="0.3">
      <c r="A989" s="26"/>
      <c r="B989" s="27"/>
      <c r="C989" s="27"/>
      <c r="D989" s="27"/>
      <c r="E989" s="27"/>
      <c r="F989" s="27"/>
      <c r="G989" s="27"/>
      <c r="H989" s="27"/>
    </row>
    <row r="990" spans="1:8" ht="15.75" customHeight="1" x14ac:dyDescent="0.3">
      <c r="A990" s="26"/>
      <c r="B990" s="27"/>
      <c r="C990" s="27"/>
      <c r="D990" s="27"/>
      <c r="E990" s="27"/>
      <c r="F990" s="27"/>
      <c r="G990" s="27"/>
      <c r="H990" s="27"/>
    </row>
    <row r="991" spans="1:8" ht="15.75" customHeight="1" x14ac:dyDescent="0.3">
      <c r="A991" s="26"/>
      <c r="B991" s="27"/>
      <c r="C991" s="27"/>
      <c r="D991" s="27"/>
      <c r="E991" s="27"/>
      <c r="F991" s="27"/>
      <c r="G991" s="27"/>
      <c r="H991" s="27"/>
    </row>
    <row r="992" spans="1:8" ht="15.75" customHeight="1" x14ac:dyDescent="0.3">
      <c r="A992" s="26"/>
      <c r="B992" s="27"/>
      <c r="C992" s="27"/>
      <c r="D992" s="27"/>
      <c r="E992" s="27"/>
      <c r="F992" s="27"/>
      <c r="G992" s="27"/>
      <c r="H992" s="27"/>
    </row>
    <row r="993" spans="1:8" ht="15.75" customHeight="1" x14ac:dyDescent="0.3">
      <c r="A993" s="26"/>
      <c r="B993" s="27"/>
      <c r="C993" s="27"/>
      <c r="D993" s="27"/>
      <c r="E993" s="27"/>
      <c r="F993" s="27"/>
      <c r="G993" s="27"/>
      <c r="H993" s="27"/>
    </row>
    <row r="994" spans="1:8" ht="15.75" customHeight="1" x14ac:dyDescent="0.3">
      <c r="A994" s="26"/>
      <c r="B994" s="27"/>
      <c r="C994" s="27"/>
      <c r="D994" s="27"/>
      <c r="E994" s="27"/>
      <c r="F994" s="27"/>
      <c r="G994" s="27"/>
      <c r="H994" s="27"/>
    </row>
    <row r="995" spans="1:8" ht="15.75" customHeight="1" x14ac:dyDescent="0.3">
      <c r="A995" s="26"/>
      <c r="B995" s="27"/>
      <c r="C995" s="27"/>
      <c r="D995" s="27"/>
      <c r="E995" s="27"/>
      <c r="F995" s="27"/>
      <c r="G995" s="27"/>
      <c r="H995" s="27"/>
    </row>
    <row r="996" spans="1:8" ht="15.75" customHeight="1" x14ac:dyDescent="0.3">
      <c r="A996" s="26"/>
      <c r="B996" s="27"/>
      <c r="C996" s="27"/>
      <c r="D996" s="27"/>
      <c r="E996" s="27"/>
      <c r="F996" s="27"/>
      <c r="G996" s="27"/>
      <c r="H996" s="27"/>
    </row>
    <row r="997" spans="1:8" ht="15.75" customHeight="1" x14ac:dyDescent="0.3">
      <c r="A997" s="26"/>
      <c r="B997" s="27"/>
      <c r="C997" s="27"/>
      <c r="D997" s="27"/>
      <c r="E997" s="27"/>
      <c r="F997" s="27"/>
      <c r="G997" s="27"/>
      <c r="H997" s="27"/>
    </row>
    <row r="998" spans="1:8" ht="15.75" customHeight="1" x14ac:dyDescent="0.3">
      <c r="A998" s="26"/>
      <c r="B998" s="27"/>
      <c r="C998" s="27"/>
      <c r="D998" s="27"/>
      <c r="E998" s="27"/>
      <c r="F998" s="27"/>
      <c r="G998" s="27"/>
      <c r="H998" s="27"/>
    </row>
    <row r="999" spans="1:8" ht="15.75" customHeight="1" x14ac:dyDescent="0.3">
      <c r="A999" s="26"/>
      <c r="B999" s="27"/>
      <c r="C999" s="27"/>
      <c r="D999" s="27"/>
      <c r="E999" s="27"/>
      <c r="F999" s="27"/>
      <c r="G999" s="27"/>
      <c r="H999" s="27"/>
    </row>
    <row r="1000" spans="1:8" ht="15.75" customHeight="1" x14ac:dyDescent="0.3">
      <c r="A1000" s="26"/>
      <c r="B1000" s="27"/>
      <c r="C1000" s="27"/>
      <c r="D1000" s="27"/>
      <c r="E1000" s="27"/>
      <c r="F1000" s="27"/>
      <c r="G1000" s="27"/>
      <c r="H1000" s="27"/>
    </row>
    <row r="1001" spans="1:8" ht="15" customHeight="1" x14ac:dyDescent="0.3">
      <c r="E1001" s="27"/>
      <c r="F1001" s="27"/>
      <c r="G1001" s="27"/>
    </row>
    <row r="1002" spans="1:8" ht="15" customHeight="1" x14ac:dyDescent="0.3">
      <c r="F1002" s="27"/>
      <c r="G1002" s="27"/>
    </row>
  </sheetData>
  <mergeCells count="1">
    <mergeCell ref="A2:J2"/>
  </mergeCells>
  <conditionalFormatting sqref="B1:B4 B734:B1048576">
    <cfRule type="duplicateValues" dxfId="9" priority="12"/>
  </conditionalFormatting>
  <conditionalFormatting sqref="A1:XFD6 A74:XFD1048576 A7:A73 K7:XFD73">
    <cfRule type="top10" dxfId="8" priority="7" rank="10"/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{C58D96BF-B0E7-4CD8-A3F1-7440D558DCD0}</x14:id>
        </ext>
      </extLst>
    </cfRule>
  </conditionalFormatting>
  <conditionalFormatting pivot="1" sqref="I15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:J6 J74:J1048576">
    <cfRule type="top10" dxfId="7" priority="6" rank="10"/>
  </conditionalFormatting>
  <conditionalFormatting sqref="J6:J72">
    <cfRule type="top10" dxfId="6" priority="2" stopIfTrue="1" rank="10"/>
    <cfRule type="colorScale" priority="5">
      <colorScale>
        <cfvo type="min"/>
        <cfvo type="max"/>
        <color rgb="FF63BE7B"/>
        <color rgb="FFFCFCFF"/>
      </colorScale>
    </cfRule>
  </conditionalFormatting>
  <conditionalFormatting sqref="A1:XFD104857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{38AC1A5E-A7CE-444C-93A0-33A9BED90BB9}</x14:id>
        </ext>
      </extLst>
    </cfRule>
  </conditionalFormatting>
  <conditionalFormatting sqref="A4:J73">
    <cfRule type="colorScale" priority="3">
      <colorScale>
        <cfvo type="min"/>
        <cfvo type="max"/>
        <color rgb="FF63BE7B"/>
        <color rgb="FFFCFCFF"/>
      </colorScale>
    </cfRule>
  </conditionalFormatting>
  <conditionalFormatting pivot="1" sqref="I7:I72">
    <cfRule type="top10" dxfId="5" priority="1" stopIfTrue="1" rank="10"/>
  </conditionalFormatting>
  <pageMargins left="0.7" right="0.7" top="0.75" bottom="0.75" header="0" footer="0"/>
  <pageSetup orientation="landscape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8D96BF-B0E7-4CD8-A3F1-7440D558DC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A1:XFD6 A74:XFD1048576 A7:A73 K7:XFD73</xm:sqref>
        </x14:conditionalFormatting>
        <x14:conditionalFormatting xmlns:xm="http://schemas.microsoft.com/office/excel/2006/main">
          <x14:cfRule type="dataBar" id="{38AC1A5E-A7CE-444C-93A0-33A9BED90B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A1:XFD1048576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AB36-42B6-421B-A6ED-2CC5CB511DE1}">
  <sheetPr codeName="Feuil4"/>
  <dimension ref="A1:X65"/>
  <sheetViews>
    <sheetView zoomScaleNormal="100" workbookViewId="0">
      <selection activeCell="J14" sqref="J14"/>
    </sheetView>
  </sheetViews>
  <sheetFormatPr baseColWidth="10" defaultRowHeight="14.4" x14ac:dyDescent="0.3"/>
  <cols>
    <col min="1" max="1" width="19" bestFit="1" customWidth="1"/>
    <col min="2" max="2" width="16.77734375" bestFit="1" customWidth="1"/>
    <col min="3" max="3" width="17.21875" bestFit="1" customWidth="1"/>
    <col min="4" max="7" width="3" bestFit="1" customWidth="1"/>
    <col min="8" max="8" width="4" bestFit="1" customWidth="1"/>
    <col min="9" max="9" width="3" bestFit="1" customWidth="1"/>
    <col min="10" max="11" width="4" bestFit="1" customWidth="1"/>
    <col min="12" max="13" width="3" bestFit="1" customWidth="1"/>
    <col min="14" max="16" width="4" bestFit="1" customWidth="1"/>
    <col min="17" max="18" width="19.5546875" bestFit="1" customWidth="1"/>
    <col min="19" max="19" width="20.21875" style="63" bestFit="1" customWidth="1"/>
    <col min="20" max="21" width="4" bestFit="1" customWidth="1"/>
    <col min="22" max="23" width="16.77734375" bestFit="1" customWidth="1"/>
    <col min="24" max="24" width="17.21875" style="63" bestFit="1" customWidth="1"/>
    <col min="25" max="28" width="4" bestFit="1" customWidth="1"/>
    <col min="29" max="30" width="3" bestFit="1" customWidth="1"/>
    <col min="31" max="31" width="4" bestFit="1" customWidth="1"/>
    <col min="32" max="37" width="3" bestFit="1" customWidth="1"/>
    <col min="38" max="38" width="4" bestFit="1" customWidth="1"/>
    <col min="39" max="40" width="3" bestFit="1" customWidth="1"/>
    <col min="41" max="41" width="11.6640625" bestFit="1" customWidth="1"/>
  </cols>
  <sheetData>
    <row r="1" spans="1:24" x14ac:dyDescent="0.3">
      <c r="Q1" s="57" t="s">
        <v>28</v>
      </c>
      <c r="R1" s="58" t="s">
        <v>31</v>
      </c>
      <c r="S1" s="60" t="s">
        <v>29</v>
      </c>
      <c r="V1" s="36" t="s">
        <v>28</v>
      </c>
      <c r="W1" s="36" t="s">
        <v>31</v>
      </c>
      <c r="X1" s="64" t="s">
        <v>29</v>
      </c>
    </row>
    <row r="2" spans="1:24" x14ac:dyDescent="0.3">
      <c r="Q2" s="55" t="s">
        <v>9</v>
      </c>
      <c r="R2" s="36">
        <v>10574</v>
      </c>
      <c r="S2" s="61">
        <v>24898.82</v>
      </c>
      <c r="V2" s="45" t="s">
        <v>8</v>
      </c>
      <c r="W2" s="36">
        <v>6558</v>
      </c>
      <c r="X2" s="64">
        <v>14763.899999999994</v>
      </c>
    </row>
    <row r="3" spans="1:24" x14ac:dyDescent="0.3">
      <c r="A3" s="41" t="s">
        <v>28</v>
      </c>
      <c r="B3" s="36" t="s">
        <v>31</v>
      </c>
      <c r="C3" s="51" t="s">
        <v>29</v>
      </c>
      <c r="Q3" s="56">
        <v>25</v>
      </c>
      <c r="R3" s="47">
        <v>450</v>
      </c>
      <c r="S3" s="62">
        <v>1028.4099999999999</v>
      </c>
      <c r="V3" s="54">
        <v>38</v>
      </c>
      <c r="W3" s="47">
        <v>380</v>
      </c>
      <c r="X3" s="65">
        <v>631.71</v>
      </c>
    </row>
    <row r="4" spans="1:24" x14ac:dyDescent="0.3">
      <c r="A4" s="45" t="s">
        <v>9</v>
      </c>
      <c r="B4" s="36">
        <v>10574</v>
      </c>
      <c r="C4" s="51">
        <v>24898.82</v>
      </c>
      <c r="Q4" s="56">
        <v>24</v>
      </c>
      <c r="R4" s="47">
        <v>336</v>
      </c>
      <c r="S4" s="62">
        <v>878.61999999999989</v>
      </c>
      <c r="V4" s="54">
        <v>31</v>
      </c>
      <c r="W4" s="47">
        <v>341</v>
      </c>
      <c r="X4" s="65">
        <v>619.51</v>
      </c>
    </row>
    <row r="5" spans="1:24" x14ac:dyDescent="0.3">
      <c r="A5" s="54">
        <v>25</v>
      </c>
      <c r="B5" s="47">
        <v>450</v>
      </c>
      <c r="C5" s="52">
        <v>1028.4099999999999</v>
      </c>
      <c r="Q5" s="56">
        <v>32</v>
      </c>
      <c r="R5" s="47">
        <v>352</v>
      </c>
      <c r="S5" s="62">
        <v>742.91</v>
      </c>
      <c r="V5" s="54">
        <v>36</v>
      </c>
      <c r="W5" s="47">
        <v>288</v>
      </c>
      <c r="X5" s="65">
        <v>589.95999999999992</v>
      </c>
    </row>
    <row r="6" spans="1:24" x14ac:dyDescent="0.3">
      <c r="A6" s="54">
        <v>36</v>
      </c>
      <c r="B6" s="47">
        <v>396</v>
      </c>
      <c r="C6" s="52">
        <v>729.20999999999981</v>
      </c>
      <c r="Q6" s="56">
        <v>36</v>
      </c>
      <c r="R6" s="47">
        <v>396</v>
      </c>
      <c r="S6" s="62">
        <v>729.20999999999981</v>
      </c>
      <c r="V6" s="54">
        <v>34</v>
      </c>
      <c r="W6" s="47">
        <v>272</v>
      </c>
      <c r="X6" s="65">
        <v>568.76</v>
      </c>
    </row>
    <row r="7" spans="1:24" x14ac:dyDescent="0.3">
      <c r="A7" s="54">
        <v>32</v>
      </c>
      <c r="B7" s="47">
        <v>352</v>
      </c>
      <c r="C7" s="52">
        <v>742.91</v>
      </c>
      <c r="Q7" s="56">
        <v>35</v>
      </c>
      <c r="R7" s="47">
        <v>315</v>
      </c>
      <c r="S7" s="62">
        <v>639.66000000000008</v>
      </c>
      <c r="V7" s="54">
        <v>26</v>
      </c>
      <c r="W7" s="47">
        <v>260</v>
      </c>
      <c r="X7" s="65">
        <v>544.32000000000005</v>
      </c>
    </row>
    <row r="8" spans="1:24" x14ac:dyDescent="0.3">
      <c r="A8" s="54">
        <v>38</v>
      </c>
      <c r="B8" s="47">
        <v>342</v>
      </c>
      <c r="C8" s="52">
        <v>526.25</v>
      </c>
      <c r="Q8" s="56">
        <v>29</v>
      </c>
      <c r="R8" s="47">
        <v>319</v>
      </c>
      <c r="S8" s="62">
        <v>541.62</v>
      </c>
      <c r="V8" s="54">
        <v>28</v>
      </c>
      <c r="W8" s="47">
        <v>252</v>
      </c>
      <c r="X8" s="65">
        <v>505.64</v>
      </c>
    </row>
    <row r="9" spans="1:24" x14ac:dyDescent="0.3">
      <c r="A9" s="54">
        <v>24</v>
      </c>
      <c r="B9" s="47">
        <v>336</v>
      </c>
      <c r="C9" s="52">
        <v>878.61999999999989</v>
      </c>
      <c r="Q9" s="56">
        <v>38</v>
      </c>
      <c r="R9" s="47">
        <v>342</v>
      </c>
      <c r="S9" s="62">
        <v>526.25</v>
      </c>
      <c r="V9" s="54">
        <v>35</v>
      </c>
      <c r="W9" s="47">
        <v>245</v>
      </c>
      <c r="X9" s="65">
        <v>482.34000000000003</v>
      </c>
    </row>
    <row r="10" spans="1:24" x14ac:dyDescent="0.3">
      <c r="A10" s="54">
        <v>48</v>
      </c>
      <c r="B10" s="47">
        <v>336</v>
      </c>
      <c r="C10" s="52">
        <v>352.4</v>
      </c>
      <c r="Q10" s="56">
        <v>30</v>
      </c>
      <c r="R10" s="47">
        <v>300</v>
      </c>
      <c r="S10" s="62">
        <v>519.33000000000004</v>
      </c>
      <c r="V10" s="54">
        <v>24</v>
      </c>
      <c r="W10" s="47">
        <v>240</v>
      </c>
      <c r="X10" s="65">
        <v>481.39</v>
      </c>
    </row>
    <row r="11" spans="1:24" x14ac:dyDescent="0.3">
      <c r="A11" s="54">
        <v>29</v>
      </c>
      <c r="B11" s="47">
        <v>319</v>
      </c>
      <c r="C11" s="52">
        <v>541.62</v>
      </c>
      <c r="Q11" s="56">
        <v>51</v>
      </c>
      <c r="R11" s="47">
        <v>306</v>
      </c>
      <c r="S11" s="62">
        <v>392.12</v>
      </c>
      <c r="V11" s="54">
        <v>30</v>
      </c>
      <c r="W11" s="47">
        <v>240</v>
      </c>
      <c r="X11" s="65">
        <v>463.87</v>
      </c>
    </row>
    <row r="12" spans="1:24" x14ac:dyDescent="0.3">
      <c r="A12" s="54">
        <v>35</v>
      </c>
      <c r="B12" s="47">
        <v>315</v>
      </c>
      <c r="C12" s="52">
        <v>639.66000000000008</v>
      </c>
      <c r="Q12" s="56">
        <v>48</v>
      </c>
      <c r="R12" s="47">
        <v>336</v>
      </c>
      <c r="S12" s="62">
        <v>352.4</v>
      </c>
      <c r="V12" s="54">
        <v>47</v>
      </c>
      <c r="W12" s="47">
        <v>235</v>
      </c>
      <c r="X12" s="65">
        <v>284.72000000000003</v>
      </c>
    </row>
    <row r="13" spans="1:24" x14ac:dyDescent="0.3">
      <c r="A13" s="54">
        <v>51</v>
      </c>
      <c r="B13" s="47">
        <v>306</v>
      </c>
      <c r="C13" s="52">
        <v>392.12</v>
      </c>
    </row>
    <row r="14" spans="1:24" x14ac:dyDescent="0.3">
      <c r="A14" s="54">
        <v>30</v>
      </c>
      <c r="B14" s="47">
        <v>300</v>
      </c>
      <c r="C14" s="52">
        <v>519.33000000000004</v>
      </c>
    </row>
    <row r="15" spans="1:24" x14ac:dyDescent="0.3">
      <c r="A15" s="54">
        <v>42</v>
      </c>
      <c r="B15" s="47">
        <v>294</v>
      </c>
      <c r="C15" s="52">
        <v>411.21000000000004</v>
      </c>
    </row>
    <row r="16" spans="1:24" x14ac:dyDescent="0.3">
      <c r="A16" s="54">
        <v>41</v>
      </c>
      <c r="B16" s="47">
        <v>287</v>
      </c>
      <c r="C16" s="52">
        <v>547.75</v>
      </c>
    </row>
    <row r="17" spans="1:3" x14ac:dyDescent="0.3">
      <c r="A17" s="54">
        <v>26</v>
      </c>
      <c r="B17" s="47">
        <v>286</v>
      </c>
      <c r="C17" s="52">
        <v>719.24</v>
      </c>
    </row>
    <row r="18" spans="1:3" x14ac:dyDescent="0.3">
      <c r="A18" s="54">
        <v>27</v>
      </c>
      <c r="B18" s="47">
        <v>270</v>
      </c>
      <c r="C18" s="52">
        <v>570.92999999999995</v>
      </c>
    </row>
    <row r="19" spans="1:3" x14ac:dyDescent="0.3">
      <c r="A19" s="54">
        <v>50</v>
      </c>
      <c r="B19" s="47">
        <v>250</v>
      </c>
      <c r="C19" s="52">
        <v>254.43999999999997</v>
      </c>
    </row>
    <row r="20" spans="1:3" x14ac:dyDescent="0.3">
      <c r="A20" s="54">
        <v>31</v>
      </c>
      <c r="B20" s="47">
        <v>248</v>
      </c>
      <c r="C20" s="52">
        <v>525.25</v>
      </c>
    </row>
    <row r="21" spans="1:3" x14ac:dyDescent="0.3">
      <c r="A21" s="54">
        <v>40</v>
      </c>
      <c r="B21" s="47">
        <v>240</v>
      </c>
      <c r="C21" s="52">
        <v>433.92</v>
      </c>
    </row>
    <row r="22" spans="1:3" x14ac:dyDescent="0.3">
      <c r="A22" s="54">
        <v>20</v>
      </c>
      <c r="B22" s="47">
        <v>240</v>
      </c>
      <c r="C22" s="52">
        <v>779.14999999999986</v>
      </c>
    </row>
    <row r="23" spans="1:3" x14ac:dyDescent="0.3">
      <c r="A23" s="54">
        <v>46</v>
      </c>
      <c r="B23" s="47">
        <v>230</v>
      </c>
      <c r="C23" s="52">
        <v>386.6</v>
      </c>
    </row>
    <row r="24" spans="1:3" x14ac:dyDescent="0.3">
      <c r="A24" s="54">
        <v>57</v>
      </c>
      <c r="B24" s="47">
        <v>228</v>
      </c>
      <c r="C24" s="52">
        <v>196.31</v>
      </c>
    </row>
    <row r="25" spans="1:3" x14ac:dyDescent="0.3">
      <c r="A25" s="54">
        <v>28</v>
      </c>
      <c r="B25" s="47">
        <v>224</v>
      </c>
      <c r="C25" s="52">
        <v>481.02</v>
      </c>
    </row>
    <row r="26" spans="1:3" x14ac:dyDescent="0.3">
      <c r="A26" s="54">
        <v>37</v>
      </c>
      <c r="B26" s="47">
        <v>222</v>
      </c>
      <c r="C26" s="52">
        <v>338.85999999999996</v>
      </c>
    </row>
    <row r="27" spans="1:3" x14ac:dyDescent="0.3">
      <c r="A27" s="54">
        <v>17</v>
      </c>
      <c r="B27" s="47">
        <v>221</v>
      </c>
      <c r="C27" s="52">
        <v>783.24999999999989</v>
      </c>
    </row>
    <row r="28" spans="1:3" x14ac:dyDescent="0.3">
      <c r="A28" s="54">
        <v>22</v>
      </c>
      <c r="B28" s="47">
        <v>220</v>
      </c>
      <c r="C28" s="52">
        <v>743.32999999999993</v>
      </c>
    </row>
    <row r="29" spans="1:3" x14ac:dyDescent="0.3">
      <c r="A29" s="54">
        <v>43</v>
      </c>
      <c r="B29" s="47">
        <v>215</v>
      </c>
      <c r="C29" s="52">
        <v>229.98</v>
      </c>
    </row>
    <row r="30" spans="1:3" x14ac:dyDescent="0.3">
      <c r="A30" s="54">
        <v>21</v>
      </c>
      <c r="B30" s="47">
        <v>210</v>
      </c>
      <c r="C30" s="52">
        <v>573.63</v>
      </c>
    </row>
    <row r="31" spans="1:3" x14ac:dyDescent="0.3">
      <c r="A31" s="54">
        <v>19</v>
      </c>
      <c r="B31" s="47">
        <v>209</v>
      </c>
      <c r="C31" s="52">
        <v>531.19000000000005</v>
      </c>
    </row>
    <row r="32" spans="1:3" x14ac:dyDescent="0.3">
      <c r="A32" s="54">
        <v>34</v>
      </c>
      <c r="B32" s="47">
        <v>204</v>
      </c>
      <c r="C32" s="52">
        <v>299.14999999999998</v>
      </c>
    </row>
    <row r="33" spans="1:3" x14ac:dyDescent="0.3">
      <c r="A33" s="54">
        <v>49</v>
      </c>
      <c r="B33" s="47">
        <v>196</v>
      </c>
      <c r="C33" s="52">
        <v>207.24</v>
      </c>
    </row>
    <row r="34" spans="1:3" x14ac:dyDescent="0.3">
      <c r="A34" s="54">
        <v>15</v>
      </c>
      <c r="B34" s="47">
        <v>195</v>
      </c>
      <c r="C34" s="52">
        <v>872.34</v>
      </c>
    </row>
    <row r="35" spans="1:3" x14ac:dyDescent="0.3">
      <c r="A35" s="54">
        <v>39</v>
      </c>
      <c r="B35" s="47">
        <v>195</v>
      </c>
      <c r="C35" s="52">
        <v>311.79000000000002</v>
      </c>
    </row>
    <row r="36" spans="1:3" x14ac:dyDescent="0.3">
      <c r="A36" s="54">
        <v>44</v>
      </c>
      <c r="B36" s="47">
        <v>176</v>
      </c>
      <c r="C36" s="52">
        <v>293.58</v>
      </c>
    </row>
    <row r="37" spans="1:3" x14ac:dyDescent="0.3">
      <c r="A37" s="54">
        <v>23</v>
      </c>
      <c r="B37" s="47">
        <v>161</v>
      </c>
      <c r="C37" s="52">
        <v>415.29999999999995</v>
      </c>
    </row>
    <row r="38" spans="1:3" x14ac:dyDescent="0.3">
      <c r="A38" s="54">
        <v>52</v>
      </c>
      <c r="B38" s="47">
        <v>156</v>
      </c>
      <c r="C38" s="52">
        <v>112.91999999999999</v>
      </c>
    </row>
    <row r="39" spans="1:3" x14ac:dyDescent="0.3">
      <c r="A39" s="54">
        <v>14</v>
      </c>
      <c r="B39" s="47">
        <v>140</v>
      </c>
      <c r="C39" s="52">
        <v>612.15</v>
      </c>
    </row>
    <row r="40" spans="1:3" x14ac:dyDescent="0.3">
      <c r="A40" s="54">
        <v>33</v>
      </c>
      <c r="B40" s="47">
        <v>132</v>
      </c>
      <c r="C40" s="52">
        <v>304.17</v>
      </c>
    </row>
    <row r="41" spans="1:3" x14ac:dyDescent="0.3">
      <c r="A41" s="54">
        <v>16</v>
      </c>
      <c r="B41" s="47">
        <v>128</v>
      </c>
      <c r="C41" s="52">
        <v>588.88</v>
      </c>
    </row>
    <row r="42" spans="1:3" x14ac:dyDescent="0.3">
      <c r="A42" s="54">
        <v>18</v>
      </c>
      <c r="B42" s="47">
        <v>126</v>
      </c>
      <c r="C42" s="52">
        <v>483.06</v>
      </c>
    </row>
    <row r="43" spans="1:3" x14ac:dyDescent="0.3">
      <c r="A43" s="54">
        <v>10</v>
      </c>
      <c r="B43" s="47">
        <v>100</v>
      </c>
      <c r="C43" s="52">
        <v>523.89</v>
      </c>
    </row>
    <row r="44" spans="1:3" x14ac:dyDescent="0.3">
      <c r="A44" s="54">
        <v>9</v>
      </c>
      <c r="B44" s="47">
        <v>99</v>
      </c>
      <c r="C44" s="52">
        <v>608.84</v>
      </c>
    </row>
    <row r="45" spans="1:3" x14ac:dyDescent="0.3">
      <c r="A45" s="54">
        <v>47</v>
      </c>
      <c r="B45" s="47">
        <v>94</v>
      </c>
      <c r="C45" s="52">
        <v>95</v>
      </c>
    </row>
    <row r="46" spans="1:3" x14ac:dyDescent="0.3">
      <c r="A46" s="54">
        <v>13</v>
      </c>
      <c r="B46" s="47">
        <v>91</v>
      </c>
      <c r="C46" s="52">
        <v>311.83</v>
      </c>
    </row>
    <row r="47" spans="1:3" x14ac:dyDescent="0.3">
      <c r="A47" s="54">
        <v>45</v>
      </c>
      <c r="B47" s="47">
        <v>90</v>
      </c>
      <c r="C47" s="52">
        <v>132.71</v>
      </c>
    </row>
    <row r="48" spans="1:3" x14ac:dyDescent="0.3">
      <c r="A48" s="54">
        <v>74</v>
      </c>
      <c r="B48" s="47">
        <v>74</v>
      </c>
      <c r="C48" s="52">
        <v>55.63</v>
      </c>
    </row>
    <row r="49" spans="1:3" x14ac:dyDescent="0.3">
      <c r="A49" s="54">
        <v>68</v>
      </c>
      <c r="B49" s="47">
        <v>68</v>
      </c>
      <c r="C49" s="52">
        <v>23.31</v>
      </c>
    </row>
    <row r="50" spans="1:3" x14ac:dyDescent="0.3">
      <c r="A50" s="54">
        <v>64</v>
      </c>
      <c r="B50" s="47">
        <v>64</v>
      </c>
      <c r="C50" s="52">
        <v>89.18</v>
      </c>
    </row>
    <row r="51" spans="1:3" x14ac:dyDescent="0.3">
      <c r="A51" s="54">
        <v>12</v>
      </c>
      <c r="B51" s="47">
        <v>60</v>
      </c>
      <c r="C51" s="52">
        <v>260.83</v>
      </c>
    </row>
    <row r="52" spans="1:3" x14ac:dyDescent="0.3">
      <c r="A52" s="54">
        <v>56</v>
      </c>
      <c r="B52" s="47">
        <v>56</v>
      </c>
      <c r="C52" s="52">
        <v>67.02</v>
      </c>
    </row>
    <row r="53" spans="1:3" x14ac:dyDescent="0.3">
      <c r="A53" s="54">
        <v>7</v>
      </c>
      <c r="B53" s="47">
        <v>56</v>
      </c>
      <c r="C53" s="52">
        <v>320.99</v>
      </c>
    </row>
    <row r="54" spans="1:3" x14ac:dyDescent="0.3">
      <c r="A54" s="54">
        <v>8</v>
      </c>
      <c r="B54" s="47">
        <v>56</v>
      </c>
      <c r="C54" s="52">
        <v>373.76</v>
      </c>
    </row>
    <row r="55" spans="1:3" x14ac:dyDescent="0.3">
      <c r="A55" s="54">
        <v>55</v>
      </c>
      <c r="B55" s="47">
        <v>55</v>
      </c>
      <c r="C55" s="52">
        <v>72.78</v>
      </c>
    </row>
    <row r="56" spans="1:3" x14ac:dyDescent="0.3">
      <c r="A56" s="54">
        <v>54</v>
      </c>
      <c r="B56" s="47">
        <v>54</v>
      </c>
      <c r="C56" s="52">
        <v>67.069999999999993</v>
      </c>
    </row>
    <row r="57" spans="1:3" x14ac:dyDescent="0.3">
      <c r="A57" s="54">
        <v>53</v>
      </c>
      <c r="B57" s="47">
        <v>53</v>
      </c>
      <c r="C57" s="52">
        <v>99.96</v>
      </c>
    </row>
    <row r="58" spans="1:3" x14ac:dyDescent="0.3">
      <c r="A58" s="54">
        <v>5</v>
      </c>
      <c r="B58" s="47">
        <v>50</v>
      </c>
      <c r="C58" s="52">
        <v>580.51999999999987</v>
      </c>
    </row>
    <row r="59" spans="1:3" x14ac:dyDescent="0.3">
      <c r="A59" s="54">
        <v>6</v>
      </c>
      <c r="B59" s="47">
        <v>24</v>
      </c>
      <c r="C59" s="52">
        <v>248.14000000000001</v>
      </c>
    </row>
    <row r="60" spans="1:3" x14ac:dyDescent="0.3">
      <c r="A60" s="54">
        <v>11</v>
      </c>
      <c r="B60" s="47">
        <v>22</v>
      </c>
      <c r="C60" s="52">
        <v>99.86</v>
      </c>
    </row>
    <row r="61" spans="1:3" x14ac:dyDescent="0.3">
      <c r="A61" s="54">
        <v>2</v>
      </c>
      <c r="B61" s="47">
        <v>20</v>
      </c>
      <c r="C61" s="52">
        <v>728.97</v>
      </c>
    </row>
    <row r="62" spans="1:3" x14ac:dyDescent="0.3">
      <c r="A62" s="54">
        <v>4</v>
      </c>
      <c r="B62" s="47">
        <v>16</v>
      </c>
      <c r="C62" s="52">
        <v>272.82</v>
      </c>
    </row>
    <row r="63" spans="1:3" x14ac:dyDescent="0.3">
      <c r="A63" s="54">
        <v>3</v>
      </c>
      <c r="B63" s="47">
        <v>12</v>
      </c>
      <c r="C63" s="52">
        <v>275.13</v>
      </c>
    </row>
    <row r="64" spans="1:3" x14ac:dyDescent="0.3">
      <c r="A64" s="54">
        <v>1</v>
      </c>
      <c r="B64" s="47">
        <v>5</v>
      </c>
      <c r="C64" s="52">
        <v>233.41000000000003</v>
      </c>
    </row>
    <row r="65" spans="1:3" x14ac:dyDescent="0.3">
      <c r="A65" s="50" t="s">
        <v>30</v>
      </c>
      <c r="B65" s="43">
        <v>10574</v>
      </c>
      <c r="C65" s="53">
        <v>24898.82</v>
      </c>
    </row>
  </sheetData>
  <sortState xmlns:xlrd2="http://schemas.microsoft.com/office/spreadsheetml/2017/richdata2" ref="X2:X65">
    <sortCondition descending="1" ref="X1:X65"/>
  </sortState>
  <conditionalFormatting pivot="1">
    <cfRule type="cellIs" dxfId="4" priority="4" operator="greaterThan">
      <formula>220</formula>
    </cfRule>
  </conditionalFormatting>
  <conditionalFormatting pivot="1" sqref="B5:B64">
    <cfRule type="cellIs" dxfId="3" priority="3" operator="greaterThanOrEqual">
      <formula>300</formula>
    </cfRule>
  </conditionalFormatting>
  <conditionalFormatting sqref="W3:W12">
    <cfRule type="cellIs" dxfId="2" priority="2" operator="greaterThan">
      <formula>220</formula>
    </cfRule>
  </conditionalFormatting>
  <conditionalFormatting sqref="R3:R12">
    <cfRule type="cellIs" dxfId="1" priority="1" operator="greaterThanOrEqual">
      <formula>300</formula>
    </cfRule>
  </conditionalFormatting>
  <pageMargins left="0.7" right="0.7" top="0.75" bottom="0.75" header="0.3" footer="0.3"/>
  <pageSetup paperSize="9" orientation="portrait" horizontalDpi="4294967293" verticalDpi="0" r:id="rId2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027A-30EA-4769-BB57-DF47A8F16C5B}">
  <sheetPr codeName="Feuil5"/>
  <dimension ref="A1:L69"/>
  <sheetViews>
    <sheetView workbookViewId="0">
      <selection activeCell="M18" sqref="M18"/>
    </sheetView>
  </sheetViews>
  <sheetFormatPr baseColWidth="10" defaultRowHeight="14.4" x14ac:dyDescent="0.3"/>
  <cols>
    <col min="1" max="1" width="19" bestFit="1" customWidth="1"/>
    <col min="2" max="2" width="21.77734375" bestFit="1" customWidth="1"/>
    <col min="3" max="3" width="9.21875" bestFit="1" customWidth="1"/>
    <col min="4" max="4" width="11.6640625" bestFit="1" customWidth="1"/>
    <col min="5" max="8" width="8.21875" bestFit="1" customWidth="1"/>
    <col min="9" max="9" width="16.77734375" bestFit="1" customWidth="1"/>
    <col min="10" max="10" width="12.77734375" bestFit="1" customWidth="1"/>
    <col min="11" max="11" width="9.21875" bestFit="1" customWidth="1"/>
    <col min="12" max="12" width="11.6640625" bestFit="1" customWidth="1"/>
    <col min="13" max="239" width="8.21875" bestFit="1" customWidth="1"/>
    <col min="240" max="242" width="9.21875" bestFit="1" customWidth="1"/>
    <col min="243" max="243" width="17.5546875" bestFit="1" customWidth="1"/>
    <col min="244" max="244" width="11.21875" bestFit="1" customWidth="1"/>
    <col min="245" max="246" width="7.21875" bestFit="1" customWidth="1"/>
    <col min="247" max="629" width="8.21875" bestFit="1" customWidth="1"/>
    <col min="630" max="650" width="9.21875" bestFit="1" customWidth="1"/>
    <col min="651" max="651" width="13.88671875" bestFit="1" customWidth="1"/>
    <col min="652" max="652" width="11.6640625" bestFit="1" customWidth="1"/>
  </cols>
  <sheetData>
    <row r="1" spans="1:12" x14ac:dyDescent="0.3">
      <c r="A1" s="41" t="s">
        <v>29</v>
      </c>
      <c r="B1" s="41" t="s">
        <v>33</v>
      </c>
      <c r="C1" s="37"/>
      <c r="D1" s="38"/>
    </row>
    <row r="2" spans="1:12" x14ac:dyDescent="0.3">
      <c r="A2" s="41" t="s">
        <v>28</v>
      </c>
      <c r="B2" s="36" t="s">
        <v>8</v>
      </c>
      <c r="C2" s="42" t="s">
        <v>9</v>
      </c>
      <c r="D2" s="39" t="s">
        <v>30</v>
      </c>
    </row>
    <row r="3" spans="1:12" x14ac:dyDescent="0.3">
      <c r="A3" s="45">
        <v>24</v>
      </c>
      <c r="B3" s="36">
        <v>631.71</v>
      </c>
      <c r="C3" s="42">
        <v>878.62000000000012</v>
      </c>
      <c r="D3" s="39">
        <v>1510.3300000000002</v>
      </c>
    </row>
    <row r="4" spans="1:12" x14ac:dyDescent="0.3">
      <c r="A4" s="46">
        <v>25</v>
      </c>
      <c r="B4" s="47">
        <v>368.73999999999995</v>
      </c>
      <c r="C4" s="48">
        <v>1028.4100000000001</v>
      </c>
      <c r="D4" s="49">
        <v>1397.15</v>
      </c>
    </row>
    <row r="5" spans="1:12" x14ac:dyDescent="0.3">
      <c r="A5" s="46">
        <v>26</v>
      </c>
      <c r="B5" s="47">
        <v>619.50999999999988</v>
      </c>
      <c r="C5" s="48">
        <v>719.2399999999999</v>
      </c>
      <c r="D5" s="49">
        <v>1338.75</v>
      </c>
      <c r="I5" s="71" t="s">
        <v>36</v>
      </c>
      <c r="J5" s="36" t="s">
        <v>8</v>
      </c>
      <c r="K5" s="42" t="s">
        <v>9</v>
      </c>
      <c r="L5" s="39" t="s">
        <v>30</v>
      </c>
    </row>
    <row r="6" spans="1:12" x14ac:dyDescent="0.3">
      <c r="A6" s="46">
        <v>36</v>
      </c>
      <c r="B6" s="47">
        <v>505.64</v>
      </c>
      <c r="C6" s="48">
        <v>729.21</v>
      </c>
      <c r="D6" s="49">
        <v>1234.8499999999999</v>
      </c>
      <c r="I6" s="45">
        <v>24</v>
      </c>
      <c r="J6" s="75">
        <v>631.71</v>
      </c>
      <c r="K6" s="61">
        <v>878.62000000000012</v>
      </c>
      <c r="L6" s="73">
        <v>1510.3300000000002</v>
      </c>
    </row>
    <row r="7" spans="1:12" x14ac:dyDescent="0.3">
      <c r="A7" s="46">
        <v>20</v>
      </c>
      <c r="B7" s="47">
        <v>368.79999999999995</v>
      </c>
      <c r="C7" s="48">
        <v>779.14999999999986</v>
      </c>
      <c r="D7" s="49">
        <v>1147.9499999999998</v>
      </c>
      <c r="I7" s="46">
        <v>25</v>
      </c>
      <c r="J7" s="76">
        <v>368.73999999999995</v>
      </c>
      <c r="K7" s="62">
        <v>1028.4100000000001</v>
      </c>
      <c r="L7" s="74">
        <v>1397.15</v>
      </c>
    </row>
    <row r="8" spans="1:12" x14ac:dyDescent="0.3">
      <c r="A8" s="46">
        <v>35</v>
      </c>
      <c r="B8" s="47">
        <v>482.34000000000003</v>
      </c>
      <c r="C8" s="48">
        <v>639.66000000000008</v>
      </c>
      <c r="D8" s="49">
        <v>1122</v>
      </c>
      <c r="I8" s="46">
        <v>26</v>
      </c>
      <c r="J8" s="76">
        <v>619.50999999999988</v>
      </c>
      <c r="K8" s="62">
        <v>719.2399999999999</v>
      </c>
      <c r="L8" s="74">
        <v>1338.75</v>
      </c>
    </row>
    <row r="9" spans="1:12" x14ac:dyDescent="0.3">
      <c r="A9" s="46">
        <v>31</v>
      </c>
      <c r="B9" s="47">
        <v>589.95999999999992</v>
      </c>
      <c r="C9" s="48">
        <v>525.25</v>
      </c>
      <c r="D9" s="49">
        <v>1115.21</v>
      </c>
      <c r="I9" s="46">
        <v>36</v>
      </c>
      <c r="J9" s="76">
        <v>505.64</v>
      </c>
      <c r="K9" s="62">
        <v>729.21</v>
      </c>
      <c r="L9" s="74">
        <v>1234.8499999999999</v>
      </c>
    </row>
    <row r="10" spans="1:12" x14ac:dyDescent="0.3">
      <c r="A10" s="46">
        <v>38</v>
      </c>
      <c r="B10" s="47">
        <v>568.76</v>
      </c>
      <c r="C10" s="48">
        <v>526.25</v>
      </c>
      <c r="D10" s="49">
        <v>1095.01</v>
      </c>
      <c r="I10" s="46">
        <v>20</v>
      </c>
      <c r="J10" s="76">
        <v>368.79999999999995</v>
      </c>
      <c r="K10" s="62">
        <v>779.14999999999986</v>
      </c>
      <c r="L10" s="74">
        <v>1147.9499999999998</v>
      </c>
    </row>
    <row r="11" spans="1:12" x14ac:dyDescent="0.3">
      <c r="A11" s="46">
        <v>15</v>
      </c>
      <c r="B11" s="47">
        <v>190.66</v>
      </c>
      <c r="C11" s="48">
        <v>872.34</v>
      </c>
      <c r="D11" s="49">
        <v>1063</v>
      </c>
      <c r="I11" s="46">
        <v>35</v>
      </c>
      <c r="J11" s="76">
        <v>482.34000000000003</v>
      </c>
      <c r="K11" s="62">
        <v>639.66000000000008</v>
      </c>
      <c r="L11" s="74">
        <v>1122</v>
      </c>
    </row>
    <row r="12" spans="1:12" x14ac:dyDescent="0.3">
      <c r="A12" s="46">
        <v>22</v>
      </c>
      <c r="B12" s="47">
        <v>291.37</v>
      </c>
      <c r="C12" s="48">
        <v>743.33</v>
      </c>
      <c r="D12" s="49">
        <v>1034.7</v>
      </c>
      <c r="I12" s="46">
        <v>31</v>
      </c>
      <c r="J12" s="76">
        <v>589.95999999999992</v>
      </c>
      <c r="K12" s="62">
        <v>525.25</v>
      </c>
      <c r="L12" s="74">
        <v>1115.21</v>
      </c>
    </row>
    <row r="13" spans="1:12" x14ac:dyDescent="0.3">
      <c r="A13" s="46">
        <v>28</v>
      </c>
      <c r="B13" s="47">
        <v>544.31999999999994</v>
      </c>
      <c r="C13" s="48">
        <v>481.02</v>
      </c>
      <c r="D13" s="49">
        <v>1025.3399999999999</v>
      </c>
      <c r="I13" s="46">
        <v>38</v>
      </c>
      <c r="J13" s="76">
        <v>568.76</v>
      </c>
      <c r="K13" s="62">
        <v>526.25</v>
      </c>
      <c r="L13" s="74">
        <v>1095.01</v>
      </c>
    </row>
    <row r="14" spans="1:12" x14ac:dyDescent="0.3">
      <c r="A14" s="46">
        <v>18</v>
      </c>
      <c r="B14" s="47">
        <v>531.19000000000005</v>
      </c>
      <c r="C14" s="48">
        <v>483.06</v>
      </c>
      <c r="D14" s="49">
        <v>1014.25</v>
      </c>
      <c r="I14" s="46">
        <v>15</v>
      </c>
      <c r="J14" s="76">
        <v>190.66</v>
      </c>
      <c r="K14" s="62">
        <v>872.34</v>
      </c>
      <c r="L14" s="74">
        <v>1063</v>
      </c>
    </row>
    <row r="15" spans="1:12" x14ac:dyDescent="0.3">
      <c r="A15" s="46">
        <v>30</v>
      </c>
      <c r="B15" s="47">
        <v>481.39</v>
      </c>
      <c r="C15" s="48">
        <v>519.33000000000004</v>
      </c>
      <c r="D15" s="49">
        <v>1000.7200000000003</v>
      </c>
      <c r="I15" s="46">
        <v>22</v>
      </c>
      <c r="J15" s="76">
        <v>291.37</v>
      </c>
      <c r="K15" s="62">
        <v>743.33</v>
      </c>
      <c r="L15" s="74">
        <v>1034.7</v>
      </c>
    </row>
    <row r="16" spans="1:12" x14ac:dyDescent="0.3">
      <c r="A16" s="46">
        <v>16</v>
      </c>
      <c r="B16" s="47">
        <v>378.16</v>
      </c>
      <c r="C16" s="48">
        <v>588.88</v>
      </c>
      <c r="D16" s="49">
        <v>967.04000000000008</v>
      </c>
    </row>
    <row r="17" spans="1:4" x14ac:dyDescent="0.3">
      <c r="A17" s="46">
        <v>27</v>
      </c>
      <c r="B17" s="47">
        <v>364.6</v>
      </c>
      <c r="C17" s="48">
        <v>570.93000000000006</v>
      </c>
      <c r="D17" s="49">
        <v>935.53</v>
      </c>
    </row>
    <row r="18" spans="1:4" x14ac:dyDescent="0.3">
      <c r="A18" s="46">
        <v>17</v>
      </c>
      <c r="B18" s="47">
        <v>125.60999999999999</v>
      </c>
      <c r="C18" s="48">
        <v>783.24999999999989</v>
      </c>
      <c r="D18" s="49">
        <v>908.8599999999999</v>
      </c>
    </row>
    <row r="19" spans="1:4" x14ac:dyDescent="0.3">
      <c r="A19" s="46">
        <v>14</v>
      </c>
      <c r="B19" s="47">
        <v>273.77999999999997</v>
      </c>
      <c r="C19" s="48">
        <v>612.15</v>
      </c>
      <c r="D19" s="49">
        <v>885.93000000000006</v>
      </c>
    </row>
    <row r="20" spans="1:4" x14ac:dyDescent="0.3">
      <c r="A20" s="46">
        <v>9</v>
      </c>
      <c r="B20" s="47">
        <v>273.39000000000004</v>
      </c>
      <c r="C20" s="48">
        <v>608.83999999999992</v>
      </c>
      <c r="D20" s="49">
        <v>882.23</v>
      </c>
    </row>
    <row r="21" spans="1:4" x14ac:dyDescent="0.3">
      <c r="A21" s="46">
        <v>2</v>
      </c>
      <c r="B21" s="47">
        <v>142.66</v>
      </c>
      <c r="C21" s="48">
        <v>728.97</v>
      </c>
      <c r="D21" s="49">
        <v>871.63000000000011</v>
      </c>
    </row>
    <row r="22" spans="1:4" x14ac:dyDescent="0.3">
      <c r="A22" s="46">
        <v>7</v>
      </c>
      <c r="B22" s="47">
        <v>536.27</v>
      </c>
      <c r="C22" s="48">
        <v>320.99</v>
      </c>
      <c r="D22" s="49">
        <v>857.25999999999988</v>
      </c>
    </row>
    <row r="23" spans="1:4" x14ac:dyDescent="0.3">
      <c r="A23" s="46">
        <v>23</v>
      </c>
      <c r="B23" s="47">
        <v>418.84000000000003</v>
      </c>
      <c r="C23" s="48">
        <v>415.29999999999995</v>
      </c>
      <c r="D23" s="49">
        <v>834.1400000000001</v>
      </c>
    </row>
    <row r="24" spans="1:4" x14ac:dyDescent="0.3">
      <c r="A24" s="46">
        <v>29</v>
      </c>
      <c r="B24" s="47">
        <v>256.72000000000003</v>
      </c>
      <c r="C24" s="48">
        <v>541.62</v>
      </c>
      <c r="D24" s="49">
        <v>798.33999999999992</v>
      </c>
    </row>
    <row r="25" spans="1:4" x14ac:dyDescent="0.3">
      <c r="A25" s="46">
        <v>41</v>
      </c>
      <c r="B25" s="47">
        <v>237.23000000000002</v>
      </c>
      <c r="C25" s="48">
        <v>547.75</v>
      </c>
      <c r="D25" s="49">
        <v>784.98000000000013</v>
      </c>
    </row>
    <row r="26" spans="1:4" x14ac:dyDescent="0.3">
      <c r="A26" s="46">
        <v>34</v>
      </c>
      <c r="B26" s="47">
        <v>463.87</v>
      </c>
      <c r="C26" s="48">
        <v>299.14999999999998</v>
      </c>
      <c r="D26" s="49">
        <v>763.02</v>
      </c>
    </row>
    <row r="27" spans="1:4" x14ac:dyDescent="0.3">
      <c r="A27" s="46">
        <v>10</v>
      </c>
      <c r="B27" s="47">
        <v>223.78</v>
      </c>
      <c r="C27" s="48">
        <v>523.89</v>
      </c>
      <c r="D27" s="49">
        <v>747.67</v>
      </c>
    </row>
    <row r="28" spans="1:4" x14ac:dyDescent="0.3">
      <c r="A28" s="46">
        <v>5</v>
      </c>
      <c r="B28" s="47">
        <v>163.13999999999999</v>
      </c>
      <c r="C28" s="48">
        <v>580.52</v>
      </c>
      <c r="D28" s="49">
        <v>743.66</v>
      </c>
    </row>
    <row r="29" spans="1:4" x14ac:dyDescent="0.3">
      <c r="A29" s="46">
        <v>32</v>
      </c>
      <c r="B29" s="47"/>
      <c r="C29" s="48">
        <v>742.91</v>
      </c>
      <c r="D29" s="49">
        <v>742.91</v>
      </c>
    </row>
    <row r="30" spans="1:4" x14ac:dyDescent="0.3">
      <c r="A30" s="46">
        <v>19</v>
      </c>
      <c r="B30" s="47">
        <v>169.84</v>
      </c>
      <c r="C30" s="48">
        <v>531.19000000000005</v>
      </c>
      <c r="D30" s="49">
        <v>701.02999999999986</v>
      </c>
    </row>
    <row r="31" spans="1:4" x14ac:dyDescent="0.3">
      <c r="A31" s="46">
        <v>3</v>
      </c>
      <c r="B31" s="47">
        <v>360.62</v>
      </c>
      <c r="C31" s="48">
        <v>275.13</v>
      </c>
      <c r="D31" s="49">
        <v>635.75</v>
      </c>
    </row>
    <row r="32" spans="1:4" x14ac:dyDescent="0.3">
      <c r="A32" s="46">
        <v>42</v>
      </c>
      <c r="B32" s="47">
        <v>211.31</v>
      </c>
      <c r="C32" s="48">
        <v>411.21000000000004</v>
      </c>
      <c r="D32" s="49">
        <v>622.52</v>
      </c>
    </row>
    <row r="33" spans="1:4" x14ac:dyDescent="0.3">
      <c r="A33" s="46">
        <v>13</v>
      </c>
      <c r="B33" s="47">
        <v>284.57</v>
      </c>
      <c r="C33" s="48">
        <v>311.83</v>
      </c>
      <c r="D33" s="49">
        <v>596.4</v>
      </c>
    </row>
    <row r="34" spans="1:4" x14ac:dyDescent="0.3">
      <c r="A34" s="46">
        <v>6</v>
      </c>
      <c r="B34" s="47">
        <v>338.63000000000005</v>
      </c>
      <c r="C34" s="48">
        <v>248.14000000000001</v>
      </c>
      <c r="D34" s="49">
        <v>586.77</v>
      </c>
    </row>
    <row r="35" spans="1:4" x14ac:dyDescent="0.3">
      <c r="A35" s="46">
        <v>21</v>
      </c>
      <c r="B35" s="47"/>
      <c r="C35" s="48">
        <v>573.63</v>
      </c>
      <c r="D35" s="49">
        <v>573.63</v>
      </c>
    </row>
    <row r="36" spans="1:4" x14ac:dyDescent="0.3">
      <c r="A36" s="46">
        <v>33</v>
      </c>
      <c r="B36" s="47">
        <v>246.23</v>
      </c>
      <c r="C36" s="48">
        <v>304.17</v>
      </c>
      <c r="D36" s="49">
        <v>550.4</v>
      </c>
    </row>
    <row r="37" spans="1:4" x14ac:dyDescent="0.3">
      <c r="A37" s="46">
        <v>39</v>
      </c>
      <c r="B37" s="47">
        <v>231.14</v>
      </c>
      <c r="C37" s="48">
        <v>311.79000000000002</v>
      </c>
      <c r="D37" s="49">
        <v>542.92999999999995</v>
      </c>
    </row>
    <row r="38" spans="1:4" x14ac:dyDescent="0.3">
      <c r="A38" s="46">
        <v>46</v>
      </c>
      <c r="B38" s="47">
        <v>142.07999999999998</v>
      </c>
      <c r="C38" s="48">
        <v>386.6</v>
      </c>
      <c r="D38" s="49">
        <v>528.67999999999995</v>
      </c>
    </row>
    <row r="39" spans="1:4" x14ac:dyDescent="0.3">
      <c r="A39" s="46">
        <v>40</v>
      </c>
      <c r="B39" s="47">
        <v>88.13</v>
      </c>
      <c r="C39" s="48">
        <v>433.92</v>
      </c>
      <c r="D39" s="49">
        <v>522.04999999999995</v>
      </c>
    </row>
    <row r="40" spans="1:4" x14ac:dyDescent="0.3">
      <c r="A40" s="46">
        <v>51</v>
      </c>
      <c r="B40" s="47">
        <v>119.58000000000001</v>
      </c>
      <c r="C40" s="48">
        <v>392.12</v>
      </c>
      <c r="D40" s="49">
        <v>511.70000000000005</v>
      </c>
    </row>
    <row r="41" spans="1:4" x14ac:dyDescent="0.3">
      <c r="A41" s="46">
        <v>8</v>
      </c>
      <c r="B41" s="47">
        <v>136.15</v>
      </c>
      <c r="C41" s="48">
        <v>373.76000000000005</v>
      </c>
      <c r="D41" s="49">
        <v>509.91000000000008</v>
      </c>
    </row>
    <row r="42" spans="1:4" x14ac:dyDescent="0.3">
      <c r="A42" s="46">
        <v>48</v>
      </c>
      <c r="B42" s="47">
        <v>142.58999999999997</v>
      </c>
      <c r="C42" s="48">
        <v>352.4</v>
      </c>
      <c r="D42" s="49">
        <v>494.98999999999995</v>
      </c>
    </row>
    <row r="43" spans="1:4" x14ac:dyDescent="0.3">
      <c r="A43" s="46">
        <v>43</v>
      </c>
      <c r="B43" s="47">
        <v>259.49</v>
      </c>
      <c r="C43" s="48">
        <v>229.98</v>
      </c>
      <c r="D43" s="49">
        <v>489.46999999999991</v>
      </c>
    </row>
    <row r="44" spans="1:4" x14ac:dyDescent="0.3">
      <c r="A44" s="46">
        <v>44</v>
      </c>
      <c r="B44" s="47">
        <v>173.57</v>
      </c>
      <c r="C44" s="48">
        <v>293.58</v>
      </c>
      <c r="D44" s="49">
        <v>467.15000000000003</v>
      </c>
    </row>
    <row r="45" spans="1:4" x14ac:dyDescent="0.3">
      <c r="A45" s="46">
        <v>37</v>
      </c>
      <c r="B45" s="47">
        <v>112.71000000000001</v>
      </c>
      <c r="C45" s="48">
        <v>338.86</v>
      </c>
      <c r="D45" s="49">
        <v>451.56999999999994</v>
      </c>
    </row>
    <row r="46" spans="1:4" x14ac:dyDescent="0.3">
      <c r="A46" s="46">
        <v>12</v>
      </c>
      <c r="B46" s="47">
        <v>182.85000000000002</v>
      </c>
      <c r="C46" s="48">
        <v>260.83</v>
      </c>
      <c r="D46" s="49">
        <v>443.68000000000006</v>
      </c>
    </row>
    <row r="47" spans="1:4" x14ac:dyDescent="0.3">
      <c r="A47" s="46">
        <v>1</v>
      </c>
      <c r="B47" s="47">
        <v>201.41</v>
      </c>
      <c r="C47" s="48">
        <v>233.41</v>
      </c>
      <c r="D47" s="49">
        <v>434.82</v>
      </c>
    </row>
    <row r="48" spans="1:4" x14ac:dyDescent="0.3">
      <c r="A48" s="46">
        <v>4</v>
      </c>
      <c r="B48" s="47">
        <v>138.84</v>
      </c>
      <c r="C48" s="48">
        <v>272.82</v>
      </c>
      <c r="D48" s="49">
        <v>411.66</v>
      </c>
    </row>
    <row r="49" spans="1:4" x14ac:dyDescent="0.3">
      <c r="A49" s="46">
        <v>47</v>
      </c>
      <c r="B49" s="47">
        <v>284.71999999999997</v>
      </c>
      <c r="C49" s="48">
        <v>95</v>
      </c>
      <c r="D49" s="49">
        <v>379.71999999999997</v>
      </c>
    </row>
    <row r="50" spans="1:4" x14ac:dyDescent="0.3">
      <c r="A50" s="46">
        <v>49</v>
      </c>
      <c r="B50" s="47">
        <v>59.39</v>
      </c>
      <c r="C50" s="48">
        <v>207.24</v>
      </c>
      <c r="D50" s="49">
        <v>266.63</v>
      </c>
    </row>
    <row r="51" spans="1:4" x14ac:dyDescent="0.3">
      <c r="A51" s="46">
        <v>50</v>
      </c>
      <c r="B51" s="47"/>
      <c r="C51" s="48">
        <v>254.43999999999997</v>
      </c>
      <c r="D51" s="49">
        <v>254.43999999999997</v>
      </c>
    </row>
    <row r="52" spans="1:4" x14ac:dyDescent="0.3">
      <c r="A52" s="46">
        <v>45</v>
      </c>
      <c r="B52" s="47">
        <v>118.16</v>
      </c>
      <c r="C52" s="48">
        <v>132.71</v>
      </c>
      <c r="D52" s="49">
        <v>250.87</v>
      </c>
    </row>
    <row r="53" spans="1:4" x14ac:dyDescent="0.3">
      <c r="A53" s="46">
        <v>11</v>
      </c>
      <c r="B53" s="47">
        <v>150.74</v>
      </c>
      <c r="C53" s="48">
        <v>99.86</v>
      </c>
      <c r="D53" s="49">
        <v>250.6</v>
      </c>
    </row>
    <row r="54" spans="1:4" x14ac:dyDescent="0.3">
      <c r="A54" s="46">
        <v>57</v>
      </c>
      <c r="B54" s="47"/>
      <c r="C54" s="48">
        <v>196.31</v>
      </c>
      <c r="D54" s="49">
        <v>196.31</v>
      </c>
    </row>
    <row r="55" spans="1:4" x14ac:dyDescent="0.3">
      <c r="A55" s="46">
        <v>53</v>
      </c>
      <c r="B55" s="47">
        <v>70.61</v>
      </c>
      <c r="C55" s="48">
        <v>99.96</v>
      </c>
      <c r="D55" s="49">
        <v>170.57</v>
      </c>
    </row>
    <row r="56" spans="1:4" x14ac:dyDescent="0.3">
      <c r="A56" s="46">
        <v>52</v>
      </c>
      <c r="B56" s="47">
        <v>55.46</v>
      </c>
      <c r="C56" s="48">
        <v>112.91999999999999</v>
      </c>
      <c r="D56" s="49">
        <v>168.38</v>
      </c>
    </row>
    <row r="57" spans="1:4" x14ac:dyDescent="0.3">
      <c r="A57" s="46">
        <v>54</v>
      </c>
      <c r="B57" s="47">
        <v>85.91</v>
      </c>
      <c r="C57" s="48">
        <v>67.069999999999993</v>
      </c>
      <c r="D57" s="49">
        <v>152.97999999999999</v>
      </c>
    </row>
    <row r="58" spans="1:4" x14ac:dyDescent="0.3">
      <c r="A58" s="46">
        <v>67</v>
      </c>
      <c r="B58" s="47">
        <v>108.39</v>
      </c>
      <c r="C58" s="48"/>
      <c r="D58" s="49">
        <v>108.39</v>
      </c>
    </row>
    <row r="59" spans="1:4" x14ac:dyDescent="0.3">
      <c r="A59" s="46">
        <v>64</v>
      </c>
      <c r="B59" s="47"/>
      <c r="C59" s="48">
        <v>89.18</v>
      </c>
      <c r="D59" s="49">
        <v>89.18</v>
      </c>
    </row>
    <row r="60" spans="1:4" x14ac:dyDescent="0.3">
      <c r="A60" s="46">
        <v>62</v>
      </c>
      <c r="B60" s="47">
        <v>77.400000000000006</v>
      </c>
      <c r="C60" s="48"/>
      <c r="D60" s="49">
        <v>77.400000000000006</v>
      </c>
    </row>
    <row r="61" spans="1:4" x14ac:dyDescent="0.3">
      <c r="A61" s="46">
        <v>55</v>
      </c>
      <c r="B61" s="47"/>
      <c r="C61" s="48">
        <v>72.78</v>
      </c>
      <c r="D61" s="49">
        <v>72.78</v>
      </c>
    </row>
    <row r="62" spans="1:4" x14ac:dyDescent="0.3">
      <c r="A62" s="46">
        <v>56</v>
      </c>
      <c r="B62" s="47"/>
      <c r="C62" s="48">
        <v>67.02</v>
      </c>
      <c r="D62" s="49">
        <v>67.02</v>
      </c>
    </row>
    <row r="63" spans="1:4" x14ac:dyDescent="0.3">
      <c r="A63" s="46">
        <v>74</v>
      </c>
      <c r="B63" s="47"/>
      <c r="C63" s="48">
        <v>55.63</v>
      </c>
      <c r="D63" s="49">
        <v>55.63</v>
      </c>
    </row>
    <row r="64" spans="1:4" x14ac:dyDescent="0.3">
      <c r="A64" s="46">
        <v>58</v>
      </c>
      <c r="B64" s="47">
        <v>53.2</v>
      </c>
      <c r="C64" s="48"/>
      <c r="D64" s="49">
        <v>53.2</v>
      </c>
    </row>
    <row r="65" spans="1:4" x14ac:dyDescent="0.3">
      <c r="A65" s="46">
        <v>60</v>
      </c>
      <c r="B65" s="47">
        <v>46.24</v>
      </c>
      <c r="C65" s="48"/>
      <c r="D65" s="49">
        <v>46.24</v>
      </c>
    </row>
    <row r="66" spans="1:4" x14ac:dyDescent="0.3">
      <c r="A66" s="46">
        <v>59</v>
      </c>
      <c r="B66" s="47">
        <v>42.33</v>
      </c>
      <c r="C66" s="48"/>
      <c r="D66" s="49">
        <v>42.33</v>
      </c>
    </row>
    <row r="67" spans="1:4" x14ac:dyDescent="0.3">
      <c r="A67" s="46">
        <v>63</v>
      </c>
      <c r="B67" s="47">
        <v>39.17</v>
      </c>
      <c r="C67" s="48"/>
      <c r="D67" s="49">
        <v>39.17</v>
      </c>
    </row>
    <row r="68" spans="1:4" x14ac:dyDescent="0.3">
      <c r="A68" s="46">
        <v>68</v>
      </c>
      <c r="B68" s="47"/>
      <c r="C68" s="48">
        <v>23.31</v>
      </c>
      <c r="D68" s="49">
        <v>23.31</v>
      </c>
    </row>
    <row r="69" spans="1:4" x14ac:dyDescent="0.3">
      <c r="A69" s="50" t="s">
        <v>30</v>
      </c>
      <c r="B69" s="43">
        <v>14763.899999999992</v>
      </c>
      <c r="C69" s="44">
        <v>24898.819999999996</v>
      </c>
      <c r="D69" s="40">
        <v>39662.719999999994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6">
    <tabColor theme="5"/>
  </sheetPr>
  <dimension ref="A1:H676"/>
  <sheetViews>
    <sheetView topLeftCell="A658" workbookViewId="0">
      <selection activeCell="G665" sqref="G665"/>
    </sheetView>
  </sheetViews>
  <sheetFormatPr baseColWidth="10" defaultColWidth="14.44140625" defaultRowHeight="15" customHeight="1" x14ac:dyDescent="0.3"/>
  <cols>
    <col min="1" max="1" width="7.6640625" bestFit="1" customWidth="1"/>
    <col min="2" max="2" width="12.77734375" bestFit="1" customWidth="1"/>
    <col min="3" max="3" width="11.6640625" bestFit="1" customWidth="1"/>
    <col min="4" max="4" width="12.77734375" bestFit="1" customWidth="1"/>
    <col min="5" max="5" width="11.6640625" style="34" bestFit="1" customWidth="1"/>
    <col min="6" max="6" width="12.77734375" bestFit="1" customWidth="1"/>
    <col min="7" max="7" width="12.77734375" customWidth="1"/>
    <col min="8" max="8" width="12.77734375" bestFit="1" customWidth="1"/>
    <col min="9" max="20" width="10.6640625" customWidth="1"/>
  </cols>
  <sheetData>
    <row r="1" spans="1:8" ht="15" customHeight="1" x14ac:dyDescent="0.3">
      <c r="F1" s="80"/>
      <c r="G1" s="80"/>
      <c r="H1" s="80"/>
    </row>
    <row r="2" spans="1:8" ht="15" customHeight="1" x14ac:dyDescent="0.3">
      <c r="F2" s="80"/>
      <c r="G2" s="80"/>
      <c r="H2" s="80"/>
    </row>
    <row r="3" spans="1:8" ht="15" customHeight="1" x14ac:dyDescent="0.3">
      <c r="F3" s="80"/>
      <c r="G3" s="80"/>
      <c r="H3" s="80"/>
    </row>
    <row r="4" spans="1:8" ht="15" customHeight="1" x14ac:dyDescent="0.3">
      <c r="F4" s="80"/>
      <c r="G4" s="80"/>
      <c r="H4" s="80"/>
    </row>
    <row r="6" spans="1:8" ht="14.4" x14ac:dyDescent="0.3">
      <c r="A6" s="28" t="s">
        <v>23</v>
      </c>
      <c r="B6" s="29" t="s">
        <v>24</v>
      </c>
      <c r="C6" s="30" t="s">
        <v>25</v>
      </c>
      <c r="D6" s="28" t="s">
        <v>26</v>
      </c>
      <c r="E6" s="33" t="s">
        <v>27</v>
      </c>
    </row>
    <row r="7" spans="1:8" ht="14.4" x14ac:dyDescent="0.3">
      <c r="A7" s="28">
        <v>26</v>
      </c>
      <c r="B7" s="29">
        <v>9.68</v>
      </c>
      <c r="C7" s="31">
        <v>132.72999999999999</v>
      </c>
      <c r="D7" s="28" t="s">
        <v>9</v>
      </c>
      <c r="E7" s="34">
        <f t="shared" ref="E7:E70" si="0">C7/C$667</f>
        <v>3.3464674132283436E-3</v>
      </c>
    </row>
    <row r="8" spans="1:8" ht="14.4" x14ac:dyDescent="0.3">
      <c r="A8" s="28">
        <v>15</v>
      </c>
      <c r="B8" s="29">
        <v>12.6</v>
      </c>
      <c r="C8" s="31">
        <v>120.86</v>
      </c>
      <c r="D8" s="28" t="s">
        <v>9</v>
      </c>
      <c r="E8" s="34">
        <f t="shared" si="0"/>
        <v>3.0471939392961471E-3</v>
      </c>
    </row>
    <row r="9" spans="1:8" ht="14.4" x14ac:dyDescent="0.3">
      <c r="A9" s="28">
        <v>3</v>
      </c>
      <c r="B9" s="29">
        <v>8.93</v>
      </c>
      <c r="C9" s="31">
        <v>118.54</v>
      </c>
      <c r="D9" s="28" t="s">
        <v>8</v>
      </c>
      <c r="E9" s="34">
        <f t="shared" si="0"/>
        <v>2.9887007245090625E-3</v>
      </c>
    </row>
    <row r="10" spans="1:8" ht="14.4" x14ac:dyDescent="0.3">
      <c r="A10" s="28">
        <v>51</v>
      </c>
      <c r="B10" s="29">
        <v>11.5</v>
      </c>
      <c r="C10" s="31">
        <v>118.49</v>
      </c>
      <c r="D10" s="28" t="s">
        <v>9</v>
      </c>
      <c r="E10" s="34">
        <f t="shared" si="0"/>
        <v>2.9874400948800305E-3</v>
      </c>
    </row>
    <row r="11" spans="1:8" ht="14.4" x14ac:dyDescent="0.3">
      <c r="A11" s="28">
        <v>32</v>
      </c>
      <c r="B11" s="29">
        <v>8.8000000000000007</v>
      </c>
      <c r="C11" s="31">
        <v>115.37</v>
      </c>
      <c r="D11" s="28" t="s">
        <v>9</v>
      </c>
      <c r="E11" s="34">
        <f t="shared" si="0"/>
        <v>2.9087768060284337E-3</v>
      </c>
    </row>
    <row r="12" spans="1:8" ht="14.4" x14ac:dyDescent="0.3">
      <c r="A12" s="28">
        <v>16</v>
      </c>
      <c r="B12" s="29">
        <v>8.2899999999999991</v>
      </c>
      <c r="C12" s="31">
        <v>115.29</v>
      </c>
      <c r="D12" s="28" t="s">
        <v>8</v>
      </c>
      <c r="E12" s="34">
        <f t="shared" si="0"/>
        <v>2.9067597986219829E-3</v>
      </c>
    </row>
    <row r="13" spans="1:8" ht="14.4" x14ac:dyDescent="0.3">
      <c r="A13" s="28">
        <v>33</v>
      </c>
      <c r="B13" s="29">
        <v>11.9</v>
      </c>
      <c r="C13" s="31">
        <v>114.96</v>
      </c>
      <c r="D13" s="28" t="s">
        <v>9</v>
      </c>
      <c r="E13" s="34">
        <f t="shared" si="0"/>
        <v>2.8984396430703713E-3</v>
      </c>
    </row>
    <row r="14" spans="1:8" ht="14.4" x14ac:dyDescent="0.3">
      <c r="A14" s="28">
        <v>25</v>
      </c>
      <c r="B14" s="29">
        <v>12.5</v>
      </c>
      <c r="C14" s="31">
        <v>110.81</v>
      </c>
      <c r="D14" s="28" t="s">
        <v>9</v>
      </c>
      <c r="E14" s="34">
        <f t="shared" si="0"/>
        <v>2.7938073838607155E-3</v>
      </c>
    </row>
    <row r="15" spans="1:8" ht="14.4" x14ac:dyDescent="0.3">
      <c r="A15" s="28">
        <v>25</v>
      </c>
      <c r="B15" s="29">
        <v>8.0399999999999991</v>
      </c>
      <c r="C15" s="31">
        <v>110.48</v>
      </c>
      <c r="D15" s="28" t="s">
        <v>9</v>
      </c>
      <c r="E15" s="34">
        <f t="shared" si="0"/>
        <v>2.7854872283091044E-3</v>
      </c>
    </row>
    <row r="16" spans="1:8" ht="14.4" x14ac:dyDescent="0.3">
      <c r="A16" s="28">
        <v>27</v>
      </c>
      <c r="B16" s="29">
        <v>9.7799999999999994</v>
      </c>
      <c r="C16" s="31">
        <v>109.79</v>
      </c>
      <c r="D16" s="28" t="s">
        <v>9</v>
      </c>
      <c r="E16" s="34">
        <f t="shared" si="0"/>
        <v>2.7680905394284628E-3</v>
      </c>
    </row>
    <row r="17" spans="1:5" ht="14.4" x14ac:dyDescent="0.3">
      <c r="A17" s="28">
        <v>35</v>
      </c>
      <c r="B17" s="29">
        <v>12.4</v>
      </c>
      <c r="C17" s="31">
        <v>109.42</v>
      </c>
      <c r="D17" s="28" t="s">
        <v>9</v>
      </c>
      <c r="E17" s="34">
        <f t="shared" si="0"/>
        <v>2.758761880173626E-3</v>
      </c>
    </row>
    <row r="18" spans="1:5" ht="14.4" x14ac:dyDescent="0.3">
      <c r="A18" s="28">
        <v>31</v>
      </c>
      <c r="B18" s="29">
        <v>9.84</v>
      </c>
      <c r="C18" s="31">
        <v>108.17</v>
      </c>
      <c r="D18" s="28" t="s">
        <v>9</v>
      </c>
      <c r="E18" s="34">
        <f t="shared" si="0"/>
        <v>2.7272461394478261E-3</v>
      </c>
    </row>
    <row r="19" spans="1:5" ht="14.4" x14ac:dyDescent="0.3">
      <c r="A19" s="28">
        <v>39</v>
      </c>
      <c r="B19" s="29">
        <v>12.5</v>
      </c>
      <c r="C19" s="31">
        <v>105.61</v>
      </c>
      <c r="D19" s="28" t="s">
        <v>9</v>
      </c>
      <c r="E19" s="34">
        <f t="shared" si="0"/>
        <v>2.6627019024413876E-3</v>
      </c>
    </row>
    <row r="20" spans="1:5" ht="14.4" x14ac:dyDescent="0.3">
      <c r="A20" s="28">
        <v>26</v>
      </c>
      <c r="B20" s="29">
        <v>11.8</v>
      </c>
      <c r="C20" s="31">
        <v>105.6</v>
      </c>
      <c r="D20" s="28" t="s">
        <v>9</v>
      </c>
      <c r="E20" s="34">
        <f t="shared" si="0"/>
        <v>2.6624497765155809E-3</v>
      </c>
    </row>
    <row r="21" spans="1:5" ht="14.4" x14ac:dyDescent="0.3">
      <c r="A21" s="28">
        <v>20</v>
      </c>
      <c r="B21" s="29">
        <v>7.97</v>
      </c>
      <c r="C21" s="31">
        <v>104.75</v>
      </c>
      <c r="D21" s="28" t="s">
        <v>9</v>
      </c>
      <c r="E21" s="34">
        <f t="shared" si="0"/>
        <v>2.6410190728220371E-3</v>
      </c>
    </row>
    <row r="22" spans="1:5" ht="14.4" x14ac:dyDescent="0.3">
      <c r="A22" s="28">
        <v>28</v>
      </c>
      <c r="B22" s="29">
        <v>12.3</v>
      </c>
      <c r="C22" s="31">
        <v>103.88</v>
      </c>
      <c r="D22" s="28" t="s">
        <v>9</v>
      </c>
      <c r="E22" s="34">
        <f t="shared" si="0"/>
        <v>2.6190841172768803E-3</v>
      </c>
    </row>
    <row r="23" spans="1:5" ht="14.4" x14ac:dyDescent="0.3">
      <c r="A23" s="28">
        <v>38</v>
      </c>
      <c r="B23" s="29">
        <v>8.56</v>
      </c>
      <c r="C23" s="31">
        <v>103.65</v>
      </c>
      <c r="D23" s="28" t="s">
        <v>9</v>
      </c>
      <c r="E23" s="34">
        <f t="shared" si="0"/>
        <v>2.6132852209833335E-3</v>
      </c>
    </row>
    <row r="24" spans="1:5" ht="14.4" x14ac:dyDescent="0.3">
      <c r="A24" s="28">
        <v>4</v>
      </c>
      <c r="B24" s="29">
        <v>10.4</v>
      </c>
      <c r="C24" s="31">
        <v>103.09</v>
      </c>
      <c r="D24" s="28" t="s">
        <v>9</v>
      </c>
      <c r="E24" s="34">
        <f t="shared" si="0"/>
        <v>2.5991661691381748E-3</v>
      </c>
    </row>
    <row r="25" spans="1:5" ht="14.4" x14ac:dyDescent="0.3">
      <c r="A25" s="28">
        <v>32</v>
      </c>
      <c r="B25" s="29">
        <v>7.3</v>
      </c>
      <c r="C25" s="31">
        <v>101.92</v>
      </c>
      <c r="D25" s="28" t="s">
        <v>9</v>
      </c>
      <c r="E25" s="34">
        <f t="shared" si="0"/>
        <v>2.5696674358188262E-3</v>
      </c>
    </row>
    <row r="26" spans="1:5" ht="15.75" customHeight="1" x14ac:dyDescent="0.3">
      <c r="A26" s="28">
        <v>18</v>
      </c>
      <c r="B26" s="29">
        <v>11.1</v>
      </c>
      <c r="C26" s="31">
        <v>100.82</v>
      </c>
      <c r="D26" s="28" t="s">
        <v>9</v>
      </c>
      <c r="E26" s="34">
        <f t="shared" si="0"/>
        <v>2.5419335839801222E-3</v>
      </c>
    </row>
    <row r="27" spans="1:5" ht="15.75" customHeight="1" x14ac:dyDescent="0.3">
      <c r="A27" s="28">
        <v>35</v>
      </c>
      <c r="B27" s="29">
        <v>8.3800000000000008</v>
      </c>
      <c r="C27" s="31">
        <v>100.78</v>
      </c>
      <c r="D27" s="28" t="s">
        <v>8</v>
      </c>
      <c r="E27" s="34">
        <f t="shared" si="0"/>
        <v>2.5409250802768965E-3</v>
      </c>
    </row>
    <row r="28" spans="1:5" ht="15.75" customHeight="1" x14ac:dyDescent="0.3">
      <c r="A28" s="28">
        <v>15</v>
      </c>
      <c r="B28" s="29">
        <v>9.69</v>
      </c>
      <c r="C28" s="31">
        <v>100.72</v>
      </c>
      <c r="D28" s="28" t="s">
        <v>9</v>
      </c>
      <c r="E28" s="34">
        <f t="shared" si="0"/>
        <v>2.5394123247220583E-3</v>
      </c>
    </row>
    <row r="29" spans="1:5" ht="15.75" customHeight="1" x14ac:dyDescent="0.3">
      <c r="A29" s="28">
        <v>41</v>
      </c>
      <c r="B29" s="29">
        <v>12.5</v>
      </c>
      <c r="C29" s="31">
        <v>100.55</v>
      </c>
      <c r="D29" s="28" t="s">
        <v>9</v>
      </c>
      <c r="E29" s="34">
        <f t="shared" si="0"/>
        <v>2.5351261839833493E-3</v>
      </c>
    </row>
    <row r="30" spans="1:5" ht="15.75" customHeight="1" x14ac:dyDescent="0.3">
      <c r="A30" s="28">
        <v>25</v>
      </c>
      <c r="B30" s="29">
        <v>5.94</v>
      </c>
      <c r="C30" s="31">
        <v>100.07</v>
      </c>
      <c r="D30" s="28" t="s">
        <v>9</v>
      </c>
      <c r="E30" s="34">
        <f t="shared" si="0"/>
        <v>2.5230241395446419E-3</v>
      </c>
    </row>
    <row r="31" spans="1:5" ht="15.75" customHeight="1" x14ac:dyDescent="0.3">
      <c r="A31" s="28">
        <v>53</v>
      </c>
      <c r="B31" s="29">
        <v>8.0500000000000007</v>
      </c>
      <c r="C31" s="31">
        <v>99.96</v>
      </c>
      <c r="D31" s="28" t="s">
        <v>9</v>
      </c>
      <c r="E31" s="34">
        <f t="shared" si="0"/>
        <v>2.5202507543607717E-3</v>
      </c>
    </row>
    <row r="32" spans="1:5" ht="15.75" customHeight="1" x14ac:dyDescent="0.3">
      <c r="A32" s="28">
        <v>2</v>
      </c>
      <c r="B32" s="29">
        <v>10.7</v>
      </c>
      <c r="C32" s="31">
        <v>99.73</v>
      </c>
      <c r="D32" s="28" t="s">
        <v>9</v>
      </c>
      <c r="E32" s="34">
        <f t="shared" si="0"/>
        <v>2.5144518580672245E-3</v>
      </c>
    </row>
    <row r="33" spans="1:5" ht="15.75" customHeight="1" x14ac:dyDescent="0.3">
      <c r="A33" s="28">
        <v>41</v>
      </c>
      <c r="B33" s="29">
        <v>12.5</v>
      </c>
      <c r="C33" s="31">
        <v>99.72</v>
      </c>
      <c r="D33" s="28" t="s">
        <v>9</v>
      </c>
      <c r="E33" s="34">
        <f t="shared" si="0"/>
        <v>2.5141997321414182E-3</v>
      </c>
    </row>
    <row r="34" spans="1:5" ht="15.75" customHeight="1" x14ac:dyDescent="0.3">
      <c r="A34" s="28">
        <v>22</v>
      </c>
      <c r="B34" s="29">
        <v>11.3</v>
      </c>
      <c r="C34" s="31">
        <v>99.6</v>
      </c>
      <c r="D34" s="28" t="s">
        <v>9</v>
      </c>
      <c r="E34" s="34">
        <f t="shared" si="0"/>
        <v>2.5111742210317412E-3</v>
      </c>
    </row>
    <row r="35" spans="1:5" ht="15.75" customHeight="1" x14ac:dyDescent="0.3">
      <c r="A35" s="28">
        <v>26</v>
      </c>
      <c r="B35" s="29">
        <v>10</v>
      </c>
      <c r="C35" s="31">
        <v>98.34</v>
      </c>
      <c r="D35" s="28" t="s">
        <v>9</v>
      </c>
      <c r="E35" s="34">
        <f t="shared" si="0"/>
        <v>2.479406354380135E-3</v>
      </c>
    </row>
    <row r="36" spans="1:5" ht="15.75" customHeight="1" x14ac:dyDescent="0.3">
      <c r="A36" s="28">
        <v>22</v>
      </c>
      <c r="B36" s="29">
        <v>12.4</v>
      </c>
      <c r="C36" s="31">
        <v>96.74</v>
      </c>
      <c r="D36" s="28" t="s">
        <v>9</v>
      </c>
      <c r="E36" s="34">
        <f t="shared" si="0"/>
        <v>2.439066206251111E-3</v>
      </c>
    </row>
    <row r="37" spans="1:5" ht="15.75" customHeight="1" x14ac:dyDescent="0.3">
      <c r="A37" s="28">
        <v>36</v>
      </c>
      <c r="B37" s="29">
        <v>9.35</v>
      </c>
      <c r="C37" s="31">
        <v>96.31</v>
      </c>
      <c r="D37" s="28" t="s">
        <v>8</v>
      </c>
      <c r="E37" s="34">
        <f t="shared" si="0"/>
        <v>2.4282247914414359E-3</v>
      </c>
    </row>
    <row r="38" spans="1:5" ht="15.75" customHeight="1" x14ac:dyDescent="0.3">
      <c r="A38" s="28">
        <v>24</v>
      </c>
      <c r="B38" s="29">
        <v>5.0599999999999996</v>
      </c>
      <c r="C38" s="31">
        <v>96.03</v>
      </c>
      <c r="D38" s="28" t="s">
        <v>8</v>
      </c>
      <c r="E38" s="34">
        <f t="shared" si="0"/>
        <v>2.4211652655188568E-3</v>
      </c>
    </row>
    <row r="39" spans="1:5" ht="15.75" customHeight="1" x14ac:dyDescent="0.3">
      <c r="A39" s="28">
        <v>3</v>
      </c>
      <c r="B39" s="29">
        <v>12</v>
      </c>
      <c r="C39" s="31">
        <v>95.73</v>
      </c>
      <c r="D39" s="28" t="s">
        <v>9</v>
      </c>
      <c r="E39" s="34">
        <f t="shared" si="0"/>
        <v>2.413601487744665E-3</v>
      </c>
    </row>
    <row r="40" spans="1:5" ht="15.75" customHeight="1" x14ac:dyDescent="0.3">
      <c r="A40" s="28">
        <v>31</v>
      </c>
      <c r="B40" s="29">
        <v>11.6</v>
      </c>
      <c r="C40" s="31">
        <v>95.39</v>
      </c>
      <c r="D40" s="28" t="s">
        <v>9</v>
      </c>
      <c r="E40" s="34">
        <f t="shared" si="0"/>
        <v>2.4050292062672471E-3</v>
      </c>
    </row>
    <row r="41" spans="1:5" ht="15.75" customHeight="1" x14ac:dyDescent="0.3">
      <c r="A41" s="28">
        <v>44</v>
      </c>
      <c r="B41" s="29">
        <v>6.44</v>
      </c>
      <c r="C41" s="31">
        <v>95.27</v>
      </c>
      <c r="D41" s="28" t="s">
        <v>8</v>
      </c>
      <c r="E41" s="34">
        <f t="shared" si="0"/>
        <v>2.4020036951575702E-3</v>
      </c>
    </row>
    <row r="42" spans="1:5" ht="15.75" customHeight="1" x14ac:dyDescent="0.3">
      <c r="A42" s="28">
        <v>20</v>
      </c>
      <c r="B42" s="29">
        <v>11.9</v>
      </c>
      <c r="C42" s="31">
        <v>95.17</v>
      </c>
      <c r="D42" s="28" t="s">
        <v>9</v>
      </c>
      <c r="E42" s="34">
        <f t="shared" si="0"/>
        <v>2.3994824358995063E-3</v>
      </c>
    </row>
    <row r="43" spans="1:5" ht="15.75" customHeight="1" x14ac:dyDescent="0.3">
      <c r="A43" s="28">
        <v>2</v>
      </c>
      <c r="B43" s="29">
        <v>9.73</v>
      </c>
      <c r="C43" s="31">
        <v>94.71</v>
      </c>
      <c r="D43" s="28" t="s">
        <v>9</v>
      </c>
      <c r="E43" s="34">
        <f t="shared" si="0"/>
        <v>2.3878846433124119E-3</v>
      </c>
    </row>
    <row r="44" spans="1:5" ht="15.75" customHeight="1" x14ac:dyDescent="0.3">
      <c r="A44" s="28">
        <v>3</v>
      </c>
      <c r="B44" s="29">
        <v>9.23</v>
      </c>
      <c r="C44" s="31">
        <v>94.26</v>
      </c>
      <c r="D44" s="28" t="s">
        <v>9</v>
      </c>
      <c r="E44" s="34">
        <f t="shared" si="0"/>
        <v>2.3765389766511242E-3</v>
      </c>
    </row>
    <row r="45" spans="1:5" ht="15.75" customHeight="1" x14ac:dyDescent="0.3">
      <c r="A45" s="28">
        <v>40</v>
      </c>
      <c r="B45" s="29">
        <v>12.1</v>
      </c>
      <c r="C45" s="31">
        <v>94.07</v>
      </c>
      <c r="D45" s="28" t="s">
        <v>9</v>
      </c>
      <c r="E45" s="34">
        <f t="shared" si="0"/>
        <v>2.3717485840608022E-3</v>
      </c>
    </row>
    <row r="46" spans="1:5" ht="15.75" customHeight="1" x14ac:dyDescent="0.3">
      <c r="A46" s="28">
        <v>41</v>
      </c>
      <c r="B46" s="29">
        <v>11.7</v>
      </c>
      <c r="C46" s="31">
        <v>93.63</v>
      </c>
      <c r="D46" s="28" t="s">
        <v>9</v>
      </c>
      <c r="E46" s="34">
        <f t="shared" si="0"/>
        <v>2.3606550433253205E-3</v>
      </c>
    </row>
    <row r="47" spans="1:5" ht="15.75" customHeight="1" x14ac:dyDescent="0.3">
      <c r="A47" s="28">
        <v>25</v>
      </c>
      <c r="B47" s="29">
        <v>9.67</v>
      </c>
      <c r="C47" s="31">
        <v>93.01</v>
      </c>
      <c r="D47" s="28" t="s">
        <v>8</v>
      </c>
      <c r="E47" s="34">
        <f t="shared" si="0"/>
        <v>2.3450232359253243E-3</v>
      </c>
    </row>
    <row r="48" spans="1:5" ht="15.75" customHeight="1" x14ac:dyDescent="0.3">
      <c r="A48" s="28">
        <v>46</v>
      </c>
      <c r="B48" s="29">
        <v>9.6199999999999992</v>
      </c>
      <c r="C48" s="31">
        <v>92.89</v>
      </c>
      <c r="D48" s="28" t="s">
        <v>9</v>
      </c>
      <c r="E48" s="34">
        <f t="shared" si="0"/>
        <v>2.3419977248156473E-3</v>
      </c>
    </row>
    <row r="49" spans="1:5" ht="15.75" customHeight="1" x14ac:dyDescent="0.3">
      <c r="A49" s="28">
        <v>50</v>
      </c>
      <c r="B49" s="29">
        <v>5.21</v>
      </c>
      <c r="C49" s="31">
        <v>92.88</v>
      </c>
      <c r="D49" s="28" t="s">
        <v>9</v>
      </c>
      <c r="E49" s="34">
        <f t="shared" si="0"/>
        <v>2.3417455988898406E-3</v>
      </c>
    </row>
    <row r="50" spans="1:5" ht="15.75" customHeight="1" x14ac:dyDescent="0.3">
      <c r="A50" s="28">
        <v>24</v>
      </c>
      <c r="B50" s="29">
        <v>7.07</v>
      </c>
      <c r="C50" s="31">
        <v>92.83</v>
      </c>
      <c r="D50" s="28" t="s">
        <v>9</v>
      </c>
      <c r="E50" s="34">
        <f t="shared" si="0"/>
        <v>2.3404849692608086E-3</v>
      </c>
    </row>
    <row r="51" spans="1:5" ht="15.75" customHeight="1" x14ac:dyDescent="0.3">
      <c r="A51" s="28">
        <v>23</v>
      </c>
      <c r="B51" s="29">
        <v>8.18</v>
      </c>
      <c r="C51" s="31">
        <v>92.48</v>
      </c>
      <c r="D51" s="28" t="s">
        <v>8</v>
      </c>
      <c r="E51" s="34">
        <f t="shared" si="0"/>
        <v>2.3316605618575849E-3</v>
      </c>
    </row>
    <row r="52" spans="1:5" ht="15.75" customHeight="1" x14ac:dyDescent="0.3">
      <c r="A52" s="28">
        <v>27</v>
      </c>
      <c r="B52" s="29">
        <v>11.3</v>
      </c>
      <c r="C52" s="31">
        <v>92.43</v>
      </c>
      <c r="D52" s="28" t="s">
        <v>9</v>
      </c>
      <c r="E52" s="34">
        <f t="shared" si="0"/>
        <v>2.330399932228553E-3</v>
      </c>
    </row>
    <row r="53" spans="1:5" ht="15.75" customHeight="1" x14ac:dyDescent="0.3">
      <c r="A53" s="28">
        <v>23</v>
      </c>
      <c r="B53" s="29">
        <v>7.55</v>
      </c>
      <c r="C53" s="31">
        <v>92.22</v>
      </c>
      <c r="D53" s="28" t="s">
        <v>9</v>
      </c>
      <c r="E53" s="34">
        <f t="shared" si="0"/>
        <v>2.3251052877866184E-3</v>
      </c>
    </row>
    <row r="54" spans="1:5" ht="15.75" customHeight="1" x14ac:dyDescent="0.3">
      <c r="A54" s="28">
        <v>34</v>
      </c>
      <c r="B54" s="29">
        <v>9.99</v>
      </c>
      <c r="C54" s="31">
        <v>92.22</v>
      </c>
      <c r="D54" s="28" t="s">
        <v>9</v>
      </c>
      <c r="E54" s="34">
        <f t="shared" si="0"/>
        <v>2.3251052877866184E-3</v>
      </c>
    </row>
    <row r="55" spans="1:5" ht="15.75" customHeight="1" x14ac:dyDescent="0.3">
      <c r="A55" s="28">
        <v>30</v>
      </c>
      <c r="B55" s="29">
        <v>12.1</v>
      </c>
      <c r="C55" s="31">
        <v>92.08</v>
      </c>
      <c r="D55" s="28" t="s">
        <v>9</v>
      </c>
      <c r="E55" s="34">
        <f t="shared" si="0"/>
        <v>2.3215755248253288E-3</v>
      </c>
    </row>
    <row r="56" spans="1:5" ht="15.75" customHeight="1" x14ac:dyDescent="0.3">
      <c r="A56" s="28">
        <v>36</v>
      </c>
      <c r="B56" s="29">
        <v>12.8</v>
      </c>
      <c r="C56" s="31">
        <v>91.79</v>
      </c>
      <c r="D56" s="28" t="s">
        <v>9</v>
      </c>
      <c r="E56" s="34">
        <f t="shared" si="0"/>
        <v>2.3142638729769433E-3</v>
      </c>
    </row>
    <row r="57" spans="1:5" ht="15.75" customHeight="1" x14ac:dyDescent="0.3">
      <c r="A57" s="28">
        <v>38</v>
      </c>
      <c r="B57" s="29">
        <v>9.24</v>
      </c>
      <c r="C57" s="31">
        <v>91.7</v>
      </c>
      <c r="D57" s="28" t="s">
        <v>9</v>
      </c>
      <c r="E57" s="34">
        <f t="shared" si="0"/>
        <v>2.3119947396446857E-3</v>
      </c>
    </row>
    <row r="58" spans="1:5" ht="15.75" customHeight="1" x14ac:dyDescent="0.3">
      <c r="A58" s="28">
        <v>44</v>
      </c>
      <c r="B58" s="29">
        <v>8.7899999999999991</v>
      </c>
      <c r="C58" s="31">
        <v>91.53</v>
      </c>
      <c r="D58" s="28" t="s">
        <v>9</v>
      </c>
      <c r="E58" s="34">
        <f t="shared" si="0"/>
        <v>2.3077085989059768E-3</v>
      </c>
    </row>
    <row r="59" spans="1:5" ht="15.75" customHeight="1" x14ac:dyDescent="0.3">
      <c r="A59" s="28">
        <v>36</v>
      </c>
      <c r="B59" s="29">
        <v>7.25</v>
      </c>
      <c r="C59" s="31">
        <v>91.39</v>
      </c>
      <c r="D59" s="28" t="s">
        <v>9</v>
      </c>
      <c r="E59" s="34">
        <f t="shared" si="0"/>
        <v>2.3041788359446872E-3</v>
      </c>
    </row>
    <row r="60" spans="1:5" ht="15.75" customHeight="1" x14ac:dyDescent="0.3">
      <c r="A60" s="28">
        <v>37</v>
      </c>
      <c r="B60" s="29">
        <v>8.65</v>
      </c>
      <c r="C60" s="31">
        <v>91.16</v>
      </c>
      <c r="D60" s="28" t="s">
        <v>9</v>
      </c>
      <c r="E60" s="34">
        <f t="shared" si="0"/>
        <v>2.29837993965114E-3</v>
      </c>
    </row>
    <row r="61" spans="1:5" ht="15.75" customHeight="1" x14ac:dyDescent="0.3">
      <c r="A61" s="28">
        <v>2</v>
      </c>
      <c r="B61" s="29">
        <v>9.4600000000000009</v>
      </c>
      <c r="C61" s="31">
        <v>90.99</v>
      </c>
      <c r="D61" s="28" t="s">
        <v>8</v>
      </c>
      <c r="E61" s="34">
        <f t="shared" si="0"/>
        <v>2.2940937989124311E-3</v>
      </c>
    </row>
    <row r="62" spans="1:5" ht="15.75" customHeight="1" x14ac:dyDescent="0.3">
      <c r="A62" s="28">
        <v>46</v>
      </c>
      <c r="B62" s="29">
        <v>12.2</v>
      </c>
      <c r="C62" s="31">
        <v>90.89</v>
      </c>
      <c r="D62" s="28" t="s">
        <v>9</v>
      </c>
      <c r="E62" s="34">
        <f t="shared" si="0"/>
        <v>2.2915725396543672E-3</v>
      </c>
    </row>
    <row r="63" spans="1:5" ht="15.75" customHeight="1" x14ac:dyDescent="0.3">
      <c r="A63" s="28">
        <v>2</v>
      </c>
      <c r="B63" s="29">
        <v>12.4</v>
      </c>
      <c r="C63" s="31">
        <v>90.66</v>
      </c>
      <c r="D63" s="28" t="s">
        <v>9</v>
      </c>
      <c r="E63" s="34">
        <f t="shared" si="0"/>
        <v>2.28577364336082E-3</v>
      </c>
    </row>
    <row r="64" spans="1:5" ht="15.75" customHeight="1" x14ac:dyDescent="0.3">
      <c r="A64" s="28">
        <v>16</v>
      </c>
      <c r="B64" s="29">
        <v>9.3800000000000008</v>
      </c>
      <c r="C64" s="31">
        <v>90.42</v>
      </c>
      <c r="D64" s="28" t="s">
        <v>9</v>
      </c>
      <c r="E64" s="34">
        <f t="shared" si="0"/>
        <v>2.2797226211414665E-3</v>
      </c>
    </row>
    <row r="65" spans="1:5" ht="15.75" customHeight="1" x14ac:dyDescent="0.3">
      <c r="A65" s="28">
        <v>8</v>
      </c>
      <c r="B65" s="29">
        <v>8.39</v>
      </c>
      <c r="C65" s="31">
        <v>89.98</v>
      </c>
      <c r="D65" s="28" t="s">
        <v>8</v>
      </c>
      <c r="E65" s="34">
        <f t="shared" si="0"/>
        <v>2.2686290804059851E-3</v>
      </c>
    </row>
    <row r="66" spans="1:5" ht="15.75" customHeight="1" x14ac:dyDescent="0.3">
      <c r="A66" s="28">
        <v>19</v>
      </c>
      <c r="B66" s="29">
        <v>12.7</v>
      </c>
      <c r="C66" s="31">
        <v>89.68</v>
      </c>
      <c r="D66" s="28" t="s">
        <v>9</v>
      </c>
      <c r="E66" s="34">
        <f t="shared" si="0"/>
        <v>2.2610653026317929E-3</v>
      </c>
    </row>
    <row r="67" spans="1:5" ht="15.75" customHeight="1" x14ac:dyDescent="0.3">
      <c r="A67" s="28">
        <v>44</v>
      </c>
      <c r="B67" s="29">
        <v>10.3</v>
      </c>
      <c r="C67" s="31">
        <v>89.49</v>
      </c>
      <c r="D67" s="28" t="s">
        <v>9</v>
      </c>
      <c r="E67" s="34">
        <f t="shared" si="0"/>
        <v>2.256274910041471E-3</v>
      </c>
    </row>
    <row r="68" spans="1:5" ht="15.75" customHeight="1" x14ac:dyDescent="0.3">
      <c r="A68" s="28">
        <v>2</v>
      </c>
      <c r="B68" s="29">
        <v>7.12</v>
      </c>
      <c r="C68" s="31">
        <v>89.46</v>
      </c>
      <c r="D68" s="28" t="s">
        <v>9</v>
      </c>
      <c r="E68" s="34">
        <f t="shared" si="0"/>
        <v>2.255518532264052E-3</v>
      </c>
    </row>
    <row r="69" spans="1:5" ht="15.75" customHeight="1" x14ac:dyDescent="0.3">
      <c r="A69" s="28">
        <v>32</v>
      </c>
      <c r="B69" s="29">
        <v>9.74</v>
      </c>
      <c r="C69" s="31">
        <v>89.32</v>
      </c>
      <c r="D69" s="28" t="s">
        <v>9</v>
      </c>
      <c r="E69" s="34">
        <f t="shared" si="0"/>
        <v>2.2519887693027625E-3</v>
      </c>
    </row>
    <row r="70" spans="1:5" ht="15.75" customHeight="1" x14ac:dyDescent="0.3">
      <c r="A70" s="28">
        <v>32</v>
      </c>
      <c r="B70" s="29">
        <v>8.68</v>
      </c>
      <c r="C70" s="31">
        <v>89.26</v>
      </c>
      <c r="D70" s="28" t="s">
        <v>9</v>
      </c>
      <c r="E70" s="34">
        <f t="shared" si="0"/>
        <v>2.2504760137479242E-3</v>
      </c>
    </row>
    <row r="71" spans="1:5" ht="15.75" customHeight="1" x14ac:dyDescent="0.3">
      <c r="A71" s="28">
        <v>64</v>
      </c>
      <c r="B71" s="29">
        <v>8.08</v>
      </c>
      <c r="C71" s="31">
        <v>89.18</v>
      </c>
      <c r="D71" s="28" t="s">
        <v>9</v>
      </c>
      <c r="E71" s="34">
        <f t="shared" ref="E71:E134" si="1">C71/C$667</f>
        <v>2.2484590063414729E-3</v>
      </c>
    </row>
    <row r="72" spans="1:5" ht="15.75" customHeight="1" x14ac:dyDescent="0.3">
      <c r="A72" s="28">
        <v>16</v>
      </c>
      <c r="B72" s="29">
        <v>9.0399999999999991</v>
      </c>
      <c r="C72" s="31">
        <v>89.08</v>
      </c>
      <c r="D72" s="28" t="s">
        <v>9</v>
      </c>
      <c r="E72" s="34">
        <f t="shared" si="1"/>
        <v>2.245937747083409E-3</v>
      </c>
    </row>
    <row r="73" spans="1:5" ht="15.75" customHeight="1" x14ac:dyDescent="0.3">
      <c r="A73" s="28">
        <v>9</v>
      </c>
      <c r="B73" s="29">
        <v>8.1199999999999992</v>
      </c>
      <c r="C73" s="31">
        <v>89.07</v>
      </c>
      <c r="D73" s="28" t="s">
        <v>9</v>
      </c>
      <c r="E73" s="34">
        <f t="shared" si="1"/>
        <v>2.2456856211576022E-3</v>
      </c>
    </row>
    <row r="74" spans="1:5" ht="15.75" customHeight="1" x14ac:dyDescent="0.3">
      <c r="A74" s="28">
        <v>22</v>
      </c>
      <c r="B74" s="29">
        <v>12.7</v>
      </c>
      <c r="C74" s="31">
        <v>88.57</v>
      </c>
      <c r="D74" s="28" t="s">
        <v>9</v>
      </c>
      <c r="E74" s="34">
        <f t="shared" si="1"/>
        <v>2.2330793248672822E-3</v>
      </c>
    </row>
    <row r="75" spans="1:5" ht="15.75" customHeight="1" x14ac:dyDescent="0.3">
      <c r="A75" s="28">
        <v>38</v>
      </c>
      <c r="B75" s="29">
        <v>8.75</v>
      </c>
      <c r="C75" s="31">
        <v>88.53</v>
      </c>
      <c r="D75" s="28" t="s">
        <v>8</v>
      </c>
      <c r="E75" s="34">
        <f t="shared" si="1"/>
        <v>2.232070821164057E-3</v>
      </c>
    </row>
    <row r="76" spans="1:5" ht="15.75" customHeight="1" x14ac:dyDescent="0.3">
      <c r="A76" s="28">
        <v>23</v>
      </c>
      <c r="B76" s="29">
        <v>8.65</v>
      </c>
      <c r="C76" s="31">
        <v>88.43</v>
      </c>
      <c r="D76" s="28" t="s">
        <v>8</v>
      </c>
      <c r="E76" s="34">
        <f t="shared" si="1"/>
        <v>2.229549561905993E-3</v>
      </c>
    </row>
    <row r="77" spans="1:5" ht="15.75" customHeight="1" x14ac:dyDescent="0.3">
      <c r="A77" s="28">
        <v>50</v>
      </c>
      <c r="B77" s="29">
        <v>8.42</v>
      </c>
      <c r="C77" s="31">
        <v>88.33</v>
      </c>
      <c r="D77" s="28" t="s">
        <v>9</v>
      </c>
      <c r="E77" s="34">
        <f t="shared" si="1"/>
        <v>2.2270283026479287E-3</v>
      </c>
    </row>
    <row r="78" spans="1:5" ht="15.75" customHeight="1" x14ac:dyDescent="0.3">
      <c r="A78" s="28">
        <v>17</v>
      </c>
      <c r="B78" s="29">
        <v>10</v>
      </c>
      <c r="C78" s="31">
        <v>88.16</v>
      </c>
      <c r="D78" s="28" t="s">
        <v>9</v>
      </c>
      <c r="E78" s="34">
        <f t="shared" si="1"/>
        <v>2.2227421619092202E-3</v>
      </c>
    </row>
    <row r="79" spans="1:5" ht="15.75" customHeight="1" x14ac:dyDescent="0.3">
      <c r="A79" s="28">
        <v>36</v>
      </c>
      <c r="B79" s="29">
        <v>11.3</v>
      </c>
      <c r="C79" s="31">
        <v>87.75</v>
      </c>
      <c r="D79" s="28" t="s">
        <v>9</v>
      </c>
      <c r="E79" s="34">
        <f t="shared" si="1"/>
        <v>2.2124049989511578E-3</v>
      </c>
    </row>
    <row r="80" spans="1:5" ht="15.75" customHeight="1" x14ac:dyDescent="0.3">
      <c r="A80" s="28">
        <v>17</v>
      </c>
      <c r="B80" s="29">
        <v>10.1</v>
      </c>
      <c r="C80" s="31">
        <v>87.63</v>
      </c>
      <c r="D80" s="28" t="s">
        <v>9</v>
      </c>
      <c r="E80" s="34">
        <f t="shared" si="1"/>
        <v>2.2093794878414808E-3</v>
      </c>
    </row>
    <row r="81" spans="1:5" ht="15.75" customHeight="1" x14ac:dyDescent="0.3">
      <c r="A81" s="28">
        <v>10</v>
      </c>
      <c r="B81" s="29">
        <v>6.95</v>
      </c>
      <c r="C81" s="31">
        <v>87.42</v>
      </c>
      <c r="D81" s="28" t="s">
        <v>9</v>
      </c>
      <c r="E81" s="34">
        <f t="shared" si="1"/>
        <v>2.2040848433995466E-3</v>
      </c>
    </row>
    <row r="82" spans="1:5" ht="15.75" customHeight="1" x14ac:dyDescent="0.3">
      <c r="A82" s="28">
        <v>26</v>
      </c>
      <c r="B82" s="29">
        <v>5.78</v>
      </c>
      <c r="C82" s="31">
        <v>87.4</v>
      </c>
      <c r="D82" s="28" t="s">
        <v>8</v>
      </c>
      <c r="E82" s="34">
        <f t="shared" si="1"/>
        <v>2.203580591547934E-3</v>
      </c>
    </row>
    <row r="83" spans="1:5" ht="15.75" customHeight="1" x14ac:dyDescent="0.3">
      <c r="A83" s="28">
        <v>5</v>
      </c>
      <c r="B83" s="29">
        <v>8.68</v>
      </c>
      <c r="C83" s="31">
        <v>87.01</v>
      </c>
      <c r="D83" s="28" t="s">
        <v>9</v>
      </c>
      <c r="E83" s="34">
        <f t="shared" si="1"/>
        <v>2.1937476804414842E-3</v>
      </c>
    </row>
    <row r="84" spans="1:5" ht="15.75" customHeight="1" x14ac:dyDescent="0.3">
      <c r="A84" s="28">
        <v>42</v>
      </c>
      <c r="B84" s="29">
        <v>7.06</v>
      </c>
      <c r="C84" s="31">
        <v>86.68</v>
      </c>
      <c r="D84" s="28" t="s">
        <v>8</v>
      </c>
      <c r="E84" s="34">
        <f t="shared" si="1"/>
        <v>2.1854275248898731E-3</v>
      </c>
    </row>
    <row r="85" spans="1:5" ht="15.75" customHeight="1" x14ac:dyDescent="0.3">
      <c r="A85" s="28">
        <v>28</v>
      </c>
      <c r="B85" s="29">
        <v>7.41</v>
      </c>
      <c r="C85" s="31">
        <v>86.46</v>
      </c>
      <c r="D85" s="28" t="s">
        <v>8</v>
      </c>
      <c r="E85" s="34">
        <f t="shared" si="1"/>
        <v>2.1798807545221322E-3</v>
      </c>
    </row>
    <row r="86" spans="1:5" ht="15.75" customHeight="1" x14ac:dyDescent="0.3">
      <c r="A86" s="28">
        <v>2</v>
      </c>
      <c r="B86" s="29">
        <v>8.5399999999999991</v>
      </c>
      <c r="C86" s="31">
        <v>86.36</v>
      </c>
      <c r="D86" s="28" t="s">
        <v>9</v>
      </c>
      <c r="E86" s="34">
        <f t="shared" si="1"/>
        <v>2.1773594952640683E-3</v>
      </c>
    </row>
    <row r="87" spans="1:5" ht="15.75" customHeight="1" x14ac:dyDescent="0.3">
      <c r="A87" s="28">
        <v>38</v>
      </c>
      <c r="B87" s="29">
        <v>7.21</v>
      </c>
      <c r="C87" s="31">
        <v>86.23</v>
      </c>
      <c r="D87" s="28" t="s">
        <v>8</v>
      </c>
      <c r="E87" s="34">
        <f t="shared" si="1"/>
        <v>2.174081858228585E-3</v>
      </c>
    </row>
    <row r="88" spans="1:5" ht="15.75" customHeight="1" x14ac:dyDescent="0.3">
      <c r="A88" s="28">
        <v>34</v>
      </c>
      <c r="B88" s="29">
        <v>8.89</v>
      </c>
      <c r="C88" s="31">
        <v>85.79</v>
      </c>
      <c r="D88" s="28" t="s">
        <v>9</v>
      </c>
      <c r="E88" s="34">
        <f t="shared" si="1"/>
        <v>2.1629883174931037E-3</v>
      </c>
    </row>
    <row r="89" spans="1:5" ht="15.75" customHeight="1" x14ac:dyDescent="0.3">
      <c r="A89" s="28">
        <v>21</v>
      </c>
      <c r="B89" s="29">
        <v>10.6</v>
      </c>
      <c r="C89" s="31">
        <v>85.37</v>
      </c>
      <c r="D89" s="28" t="s">
        <v>9</v>
      </c>
      <c r="E89" s="34">
        <f t="shared" si="1"/>
        <v>2.1523990286092345E-3</v>
      </c>
    </row>
    <row r="90" spans="1:5" ht="15.75" customHeight="1" x14ac:dyDescent="0.3">
      <c r="A90" s="28">
        <v>36</v>
      </c>
      <c r="B90" s="29">
        <v>6.94</v>
      </c>
      <c r="C90" s="31">
        <v>85.29</v>
      </c>
      <c r="D90" s="28" t="s">
        <v>9</v>
      </c>
      <c r="E90" s="34">
        <f t="shared" si="1"/>
        <v>2.1503820212027836E-3</v>
      </c>
    </row>
    <row r="91" spans="1:5" ht="15.75" customHeight="1" x14ac:dyDescent="0.3">
      <c r="A91" s="28">
        <v>14</v>
      </c>
      <c r="B91" s="29">
        <v>7.95</v>
      </c>
      <c r="C91" s="31">
        <v>85.03</v>
      </c>
      <c r="D91" s="28" t="s">
        <v>8</v>
      </c>
      <c r="E91" s="34">
        <f t="shared" si="1"/>
        <v>2.1438267471318171E-3</v>
      </c>
    </row>
    <row r="92" spans="1:5" ht="15.75" customHeight="1" x14ac:dyDescent="0.3">
      <c r="A92" s="28">
        <v>14</v>
      </c>
      <c r="B92" s="29">
        <v>8.6</v>
      </c>
      <c r="C92" s="31">
        <v>84.49</v>
      </c>
      <c r="D92" s="28" t="s">
        <v>9</v>
      </c>
      <c r="E92" s="34">
        <f t="shared" si="1"/>
        <v>2.1302119471382714E-3</v>
      </c>
    </row>
    <row r="93" spans="1:5" ht="15.75" customHeight="1" x14ac:dyDescent="0.3">
      <c r="A93" s="28">
        <v>35</v>
      </c>
      <c r="B93" s="29">
        <v>9.33</v>
      </c>
      <c r="C93" s="31">
        <v>84.48</v>
      </c>
      <c r="D93" s="28" t="s">
        <v>9</v>
      </c>
      <c r="E93" s="34">
        <f t="shared" si="1"/>
        <v>2.1299598212124651E-3</v>
      </c>
    </row>
    <row r="94" spans="1:5" ht="15.75" customHeight="1" x14ac:dyDescent="0.3">
      <c r="A94" s="28">
        <v>22</v>
      </c>
      <c r="B94" s="29">
        <v>9.8699999999999992</v>
      </c>
      <c r="C94" s="31">
        <v>84.28</v>
      </c>
      <c r="D94" s="28" t="s">
        <v>8</v>
      </c>
      <c r="E94" s="34">
        <f t="shared" si="1"/>
        <v>2.1249173026963372E-3</v>
      </c>
    </row>
    <row r="95" spans="1:5" ht="15.75" customHeight="1" x14ac:dyDescent="0.3">
      <c r="A95" s="28">
        <v>57</v>
      </c>
      <c r="B95" s="29">
        <v>5.96</v>
      </c>
      <c r="C95" s="31">
        <v>84.26</v>
      </c>
      <c r="D95" s="28" t="s">
        <v>9</v>
      </c>
      <c r="E95" s="34">
        <f t="shared" si="1"/>
        <v>2.1244130508447242E-3</v>
      </c>
    </row>
    <row r="96" spans="1:5" ht="15.75" customHeight="1" x14ac:dyDescent="0.3">
      <c r="A96" s="28">
        <v>42</v>
      </c>
      <c r="B96" s="29">
        <v>7.33</v>
      </c>
      <c r="C96" s="31">
        <v>84.13</v>
      </c>
      <c r="D96" s="28" t="s">
        <v>9</v>
      </c>
      <c r="E96" s="34">
        <f t="shared" si="1"/>
        <v>2.1211354138092409E-3</v>
      </c>
    </row>
    <row r="97" spans="1:5" ht="15.75" customHeight="1" x14ac:dyDescent="0.3">
      <c r="A97" s="28">
        <v>23</v>
      </c>
      <c r="B97" s="29">
        <v>12.1</v>
      </c>
      <c r="C97" s="31">
        <v>83.86</v>
      </c>
      <c r="D97" s="28" t="s">
        <v>9</v>
      </c>
      <c r="E97" s="34">
        <f t="shared" si="1"/>
        <v>2.1143280138124681E-3</v>
      </c>
    </row>
    <row r="98" spans="1:5" ht="15.75" customHeight="1" x14ac:dyDescent="0.3">
      <c r="A98" s="28">
        <v>30</v>
      </c>
      <c r="B98" s="29">
        <v>9.2200000000000006</v>
      </c>
      <c r="C98" s="31">
        <v>83.76</v>
      </c>
      <c r="D98" s="28" t="s">
        <v>8</v>
      </c>
      <c r="E98" s="34">
        <f t="shared" si="1"/>
        <v>2.1118067545544041E-3</v>
      </c>
    </row>
    <row r="99" spans="1:5" ht="15.75" customHeight="1" x14ac:dyDescent="0.3">
      <c r="A99" s="28">
        <v>15</v>
      </c>
      <c r="B99" s="29">
        <v>9.98</v>
      </c>
      <c r="C99" s="31">
        <v>83.73</v>
      </c>
      <c r="D99" s="28" t="s">
        <v>8</v>
      </c>
      <c r="E99" s="34">
        <f t="shared" si="1"/>
        <v>2.1110503767769852E-3</v>
      </c>
    </row>
    <row r="100" spans="1:5" ht="15.75" customHeight="1" x14ac:dyDescent="0.3">
      <c r="A100" s="28">
        <v>47</v>
      </c>
      <c r="B100" s="29">
        <v>7.59</v>
      </c>
      <c r="C100" s="31">
        <v>83.57</v>
      </c>
      <c r="D100" s="28" t="s">
        <v>8</v>
      </c>
      <c r="E100" s="34">
        <f t="shared" si="1"/>
        <v>2.1070163619640826E-3</v>
      </c>
    </row>
    <row r="101" spans="1:5" ht="15.75" customHeight="1" x14ac:dyDescent="0.3">
      <c r="A101" s="28">
        <v>16</v>
      </c>
      <c r="B101" s="29">
        <v>8.74</v>
      </c>
      <c r="C101" s="31">
        <v>83.38</v>
      </c>
      <c r="D101" s="28" t="s">
        <v>9</v>
      </c>
      <c r="E101" s="34">
        <f t="shared" si="1"/>
        <v>2.102225969373761E-3</v>
      </c>
    </row>
    <row r="102" spans="1:5" ht="15.75" customHeight="1" x14ac:dyDescent="0.3">
      <c r="A102" s="28">
        <v>25</v>
      </c>
      <c r="B102" s="29">
        <v>12</v>
      </c>
      <c r="C102" s="31">
        <v>83.21</v>
      </c>
      <c r="D102" s="28" t="s">
        <v>9</v>
      </c>
      <c r="E102" s="34">
        <f t="shared" si="1"/>
        <v>2.0979398286350521E-3</v>
      </c>
    </row>
    <row r="103" spans="1:5" ht="15.75" customHeight="1" x14ac:dyDescent="0.3">
      <c r="A103" s="28">
        <v>26</v>
      </c>
      <c r="B103" s="29">
        <v>9.2100000000000009</v>
      </c>
      <c r="C103" s="31">
        <v>83.15</v>
      </c>
      <c r="D103" s="28" t="s">
        <v>8</v>
      </c>
      <c r="E103" s="34">
        <f t="shared" si="1"/>
        <v>2.0964270730802139E-3</v>
      </c>
    </row>
    <row r="104" spans="1:5" ht="15.75" customHeight="1" x14ac:dyDescent="0.3">
      <c r="A104" s="28">
        <v>12</v>
      </c>
      <c r="B104" s="29">
        <v>5.61</v>
      </c>
      <c r="C104" s="31">
        <v>83.08</v>
      </c>
      <c r="D104" s="28" t="s">
        <v>9</v>
      </c>
      <c r="E104" s="34">
        <f t="shared" si="1"/>
        <v>2.0946621915995688E-3</v>
      </c>
    </row>
    <row r="105" spans="1:5" ht="15.75" customHeight="1" x14ac:dyDescent="0.3">
      <c r="A105" s="28">
        <v>9</v>
      </c>
      <c r="B105" s="29">
        <v>9.23</v>
      </c>
      <c r="C105" s="31">
        <v>82.68</v>
      </c>
      <c r="D105" s="28" t="s">
        <v>9</v>
      </c>
      <c r="E105" s="34">
        <f t="shared" si="1"/>
        <v>2.0845771545673132E-3</v>
      </c>
    </row>
    <row r="106" spans="1:5" ht="15.75" customHeight="1" x14ac:dyDescent="0.3">
      <c r="A106" s="28">
        <v>15</v>
      </c>
      <c r="B106" s="29">
        <v>9.25</v>
      </c>
      <c r="C106" s="31">
        <v>82.31</v>
      </c>
      <c r="D106" s="28" t="s">
        <v>9</v>
      </c>
      <c r="E106" s="34">
        <f t="shared" si="1"/>
        <v>2.0752484953124764E-3</v>
      </c>
    </row>
    <row r="107" spans="1:5" ht="15.75" customHeight="1" x14ac:dyDescent="0.3">
      <c r="A107" s="28">
        <v>14</v>
      </c>
      <c r="B107" s="29">
        <v>9.69</v>
      </c>
      <c r="C107" s="31">
        <v>82.07</v>
      </c>
      <c r="D107" s="28" t="s">
        <v>9</v>
      </c>
      <c r="E107" s="34">
        <f t="shared" si="1"/>
        <v>2.0691974730931225E-3</v>
      </c>
    </row>
    <row r="108" spans="1:5" ht="15.75" customHeight="1" x14ac:dyDescent="0.3">
      <c r="A108" s="28">
        <v>13</v>
      </c>
      <c r="B108" s="29">
        <v>4.08</v>
      </c>
      <c r="C108" s="31">
        <v>82.05</v>
      </c>
      <c r="D108" s="28" t="s">
        <v>8</v>
      </c>
      <c r="E108" s="34">
        <f t="shared" si="1"/>
        <v>2.0686932212415098E-3</v>
      </c>
    </row>
    <row r="109" spans="1:5" ht="15.75" customHeight="1" x14ac:dyDescent="0.3">
      <c r="A109" s="28">
        <v>22</v>
      </c>
      <c r="B109" s="29">
        <v>10.7</v>
      </c>
      <c r="C109" s="31">
        <v>82.02</v>
      </c>
      <c r="D109" s="28" t="s">
        <v>9</v>
      </c>
      <c r="E109" s="34">
        <f t="shared" si="1"/>
        <v>2.0679368434640905E-3</v>
      </c>
    </row>
    <row r="110" spans="1:5" ht="15.75" customHeight="1" x14ac:dyDescent="0.3">
      <c r="A110" s="28">
        <v>18</v>
      </c>
      <c r="B110" s="29">
        <v>6.84</v>
      </c>
      <c r="C110" s="31">
        <v>81.88</v>
      </c>
      <c r="D110" s="28" t="s">
        <v>9</v>
      </c>
      <c r="E110" s="34">
        <f t="shared" si="1"/>
        <v>2.0644070805028009E-3</v>
      </c>
    </row>
    <row r="111" spans="1:5" ht="15.75" customHeight="1" x14ac:dyDescent="0.3">
      <c r="A111" s="28">
        <v>34</v>
      </c>
      <c r="B111" s="29">
        <v>9.94</v>
      </c>
      <c r="C111" s="31">
        <v>81.680000000000007</v>
      </c>
      <c r="D111" s="28" t="s">
        <v>8</v>
      </c>
      <c r="E111" s="34">
        <f t="shared" si="1"/>
        <v>2.0593645619866731E-3</v>
      </c>
    </row>
    <row r="112" spans="1:5" ht="15.75" customHeight="1" x14ac:dyDescent="0.3">
      <c r="A112" s="28">
        <v>28</v>
      </c>
      <c r="B112" s="29">
        <v>9.27</v>
      </c>
      <c r="C112" s="31">
        <v>81.64</v>
      </c>
      <c r="D112" s="28" t="s">
        <v>9</v>
      </c>
      <c r="E112" s="34">
        <f t="shared" si="1"/>
        <v>2.0583560582834474E-3</v>
      </c>
    </row>
    <row r="113" spans="1:5" ht="15.75" customHeight="1" x14ac:dyDescent="0.3">
      <c r="A113" s="28">
        <v>25</v>
      </c>
      <c r="B113" s="29">
        <v>9.77</v>
      </c>
      <c r="C113" s="31">
        <v>81.569999999999993</v>
      </c>
      <c r="D113" s="28" t="s">
        <v>8</v>
      </c>
      <c r="E113" s="34">
        <f t="shared" si="1"/>
        <v>2.0565911768028024E-3</v>
      </c>
    </row>
    <row r="114" spans="1:5" ht="15.75" customHeight="1" x14ac:dyDescent="0.3">
      <c r="A114" s="28">
        <v>36</v>
      </c>
      <c r="B114" s="29">
        <v>8.11</v>
      </c>
      <c r="C114" s="31">
        <v>81.53</v>
      </c>
      <c r="D114" s="28" t="s">
        <v>9</v>
      </c>
      <c r="E114" s="34">
        <f t="shared" si="1"/>
        <v>2.0555826730995772E-3</v>
      </c>
    </row>
    <row r="115" spans="1:5" ht="15.75" customHeight="1" x14ac:dyDescent="0.3">
      <c r="A115" s="28">
        <v>35</v>
      </c>
      <c r="B115" s="29">
        <v>7.69</v>
      </c>
      <c r="C115" s="31">
        <v>81.08</v>
      </c>
      <c r="D115" s="28" t="s">
        <v>8</v>
      </c>
      <c r="E115" s="34">
        <f t="shared" si="1"/>
        <v>2.0442370064382891E-3</v>
      </c>
    </row>
    <row r="116" spans="1:5" ht="15.75" customHeight="1" x14ac:dyDescent="0.3">
      <c r="A116" s="28">
        <v>7</v>
      </c>
      <c r="B116" s="29">
        <v>9.9499999999999993</v>
      </c>
      <c r="C116" s="31">
        <v>80.989999999999995</v>
      </c>
      <c r="D116" s="28" t="s">
        <v>8</v>
      </c>
      <c r="E116" s="34">
        <f t="shared" si="1"/>
        <v>2.0419678731060315E-3</v>
      </c>
    </row>
    <row r="117" spans="1:5" ht="15.75" customHeight="1" x14ac:dyDescent="0.3">
      <c r="A117" s="28">
        <v>28</v>
      </c>
      <c r="B117" s="29">
        <v>9.49</v>
      </c>
      <c r="C117" s="31">
        <v>80.47</v>
      </c>
      <c r="D117" s="28" t="s">
        <v>8</v>
      </c>
      <c r="E117" s="34">
        <f t="shared" si="1"/>
        <v>2.0288573249640988E-3</v>
      </c>
    </row>
    <row r="118" spans="1:5" ht="15.75" customHeight="1" x14ac:dyDescent="0.3">
      <c r="A118" s="28">
        <v>20</v>
      </c>
      <c r="B118" s="29">
        <v>7.36</v>
      </c>
      <c r="C118" s="31">
        <v>80.430000000000007</v>
      </c>
      <c r="D118" s="28" t="s">
        <v>8</v>
      </c>
      <c r="E118" s="34">
        <f t="shared" si="1"/>
        <v>2.0278488212608732E-3</v>
      </c>
    </row>
    <row r="119" spans="1:5" ht="15.75" customHeight="1" x14ac:dyDescent="0.3">
      <c r="A119" s="28">
        <v>2</v>
      </c>
      <c r="B119" s="29">
        <v>5.96</v>
      </c>
      <c r="C119" s="31">
        <v>80.31</v>
      </c>
      <c r="D119" s="28" t="s">
        <v>9</v>
      </c>
      <c r="E119" s="34">
        <f t="shared" si="1"/>
        <v>2.0248233101511962E-3</v>
      </c>
    </row>
    <row r="120" spans="1:5" ht="15.75" customHeight="1" x14ac:dyDescent="0.3">
      <c r="A120" s="28">
        <v>38</v>
      </c>
      <c r="B120" s="29">
        <v>8.2200000000000006</v>
      </c>
      <c r="C120" s="31">
        <v>80.31</v>
      </c>
      <c r="D120" s="28" t="s">
        <v>8</v>
      </c>
      <c r="E120" s="34">
        <f t="shared" si="1"/>
        <v>2.0248233101511962E-3</v>
      </c>
    </row>
    <row r="121" spans="1:5" ht="15.75" customHeight="1" x14ac:dyDescent="0.3">
      <c r="A121" s="28">
        <v>46</v>
      </c>
      <c r="B121" s="29">
        <v>9.93</v>
      </c>
      <c r="C121" s="31">
        <v>80.16</v>
      </c>
      <c r="D121" s="28" t="s">
        <v>8</v>
      </c>
      <c r="E121" s="34">
        <f t="shared" si="1"/>
        <v>2.0210414212641003E-3</v>
      </c>
    </row>
    <row r="122" spans="1:5" ht="15.75" customHeight="1" x14ac:dyDescent="0.3">
      <c r="A122" s="28">
        <v>17</v>
      </c>
      <c r="B122" s="29">
        <v>5.99</v>
      </c>
      <c r="C122" s="31">
        <v>80.13</v>
      </c>
      <c r="D122" s="28" t="s">
        <v>9</v>
      </c>
      <c r="E122" s="34">
        <f t="shared" si="1"/>
        <v>2.020285043486681E-3</v>
      </c>
    </row>
    <row r="123" spans="1:5" ht="15.75" customHeight="1" x14ac:dyDescent="0.3">
      <c r="A123" s="28">
        <v>9</v>
      </c>
      <c r="B123" s="29">
        <v>9.57</v>
      </c>
      <c r="C123" s="31">
        <v>80.03</v>
      </c>
      <c r="D123" s="28" t="s">
        <v>9</v>
      </c>
      <c r="E123" s="34">
        <f t="shared" si="1"/>
        <v>2.0177637842286171E-3</v>
      </c>
    </row>
    <row r="124" spans="1:5" ht="15.75" customHeight="1" x14ac:dyDescent="0.3">
      <c r="A124" s="28">
        <v>40</v>
      </c>
      <c r="B124" s="29">
        <v>10.6</v>
      </c>
      <c r="C124" s="31">
        <v>80</v>
      </c>
      <c r="D124" s="28" t="s">
        <v>9</v>
      </c>
      <c r="E124" s="34">
        <f t="shared" si="1"/>
        <v>2.0170074064511977E-3</v>
      </c>
    </row>
    <row r="125" spans="1:5" ht="15.75" customHeight="1" x14ac:dyDescent="0.3">
      <c r="A125" s="28">
        <v>20</v>
      </c>
      <c r="B125" s="29">
        <v>6.75</v>
      </c>
      <c r="C125" s="31">
        <v>79.989999999999995</v>
      </c>
      <c r="D125" s="28" t="s">
        <v>9</v>
      </c>
      <c r="E125" s="34">
        <f t="shared" si="1"/>
        <v>2.0167552805253914E-3</v>
      </c>
    </row>
    <row r="126" spans="1:5" ht="15.75" customHeight="1" x14ac:dyDescent="0.3">
      <c r="A126" s="28">
        <v>14</v>
      </c>
      <c r="B126" s="29">
        <v>9.3800000000000008</v>
      </c>
      <c r="C126" s="31">
        <v>79.900000000000006</v>
      </c>
      <c r="D126" s="28" t="s">
        <v>9</v>
      </c>
      <c r="E126" s="34">
        <f t="shared" si="1"/>
        <v>2.0144861471931342E-3</v>
      </c>
    </row>
    <row r="127" spans="1:5" ht="15.75" customHeight="1" x14ac:dyDescent="0.3">
      <c r="A127" s="28">
        <v>24</v>
      </c>
      <c r="B127" s="29">
        <v>8.65</v>
      </c>
      <c r="C127" s="31">
        <v>79.790000000000006</v>
      </c>
      <c r="D127" s="28" t="s">
        <v>8</v>
      </c>
      <c r="E127" s="34">
        <f t="shared" si="1"/>
        <v>2.0117127620092635E-3</v>
      </c>
    </row>
    <row r="128" spans="1:5" ht="15.75" customHeight="1" x14ac:dyDescent="0.3">
      <c r="A128" s="28">
        <v>14</v>
      </c>
      <c r="B128" s="29">
        <v>6.74</v>
      </c>
      <c r="C128" s="31">
        <v>79.67</v>
      </c>
      <c r="D128" s="28" t="s">
        <v>9</v>
      </c>
      <c r="E128" s="34">
        <f t="shared" si="1"/>
        <v>2.0086872508995866E-3</v>
      </c>
    </row>
    <row r="129" spans="1:5" ht="15.75" customHeight="1" x14ac:dyDescent="0.3">
      <c r="A129" s="28">
        <v>31</v>
      </c>
      <c r="B129" s="29">
        <v>9.6</v>
      </c>
      <c r="C129" s="31">
        <v>79.55</v>
      </c>
      <c r="D129" s="28" t="s">
        <v>8</v>
      </c>
      <c r="E129" s="34">
        <f t="shared" si="1"/>
        <v>2.00566173978991E-3</v>
      </c>
    </row>
    <row r="130" spans="1:5" ht="15.75" customHeight="1" x14ac:dyDescent="0.3">
      <c r="A130" s="28">
        <v>30</v>
      </c>
      <c r="B130" s="29">
        <v>12.2</v>
      </c>
      <c r="C130" s="31">
        <v>79.36</v>
      </c>
      <c r="D130" s="28" t="s">
        <v>9</v>
      </c>
      <c r="E130" s="34">
        <f t="shared" si="1"/>
        <v>2.0008713471995885E-3</v>
      </c>
    </row>
    <row r="131" spans="1:5" ht="15.75" customHeight="1" x14ac:dyDescent="0.3">
      <c r="A131" s="28">
        <v>7</v>
      </c>
      <c r="B131" s="29">
        <v>8.9600000000000009</v>
      </c>
      <c r="C131" s="31">
        <v>79.349999999999994</v>
      </c>
      <c r="D131" s="28" t="s">
        <v>8</v>
      </c>
      <c r="E131" s="34">
        <f t="shared" si="1"/>
        <v>2.0006192212737818E-3</v>
      </c>
    </row>
    <row r="132" spans="1:5" ht="15.75" customHeight="1" x14ac:dyDescent="0.3">
      <c r="A132" s="28">
        <v>35</v>
      </c>
      <c r="B132" s="29">
        <v>6.63</v>
      </c>
      <c r="C132" s="31">
        <v>79.290000000000006</v>
      </c>
      <c r="D132" s="28" t="s">
        <v>8</v>
      </c>
      <c r="E132" s="34">
        <f t="shared" si="1"/>
        <v>1.9991064657189435E-3</v>
      </c>
    </row>
    <row r="133" spans="1:5" ht="15.75" customHeight="1" x14ac:dyDescent="0.3">
      <c r="A133" s="28">
        <v>10</v>
      </c>
      <c r="B133" s="29">
        <v>8.02</v>
      </c>
      <c r="C133" s="31">
        <v>79.25</v>
      </c>
      <c r="D133" s="28" t="s">
        <v>9</v>
      </c>
      <c r="E133" s="34">
        <f t="shared" si="1"/>
        <v>1.9980979620157178E-3</v>
      </c>
    </row>
    <row r="134" spans="1:5" ht="15.75" customHeight="1" x14ac:dyDescent="0.3">
      <c r="A134" s="28">
        <v>16</v>
      </c>
      <c r="B134" s="29">
        <v>11.9</v>
      </c>
      <c r="C134" s="31">
        <v>79.23</v>
      </c>
      <c r="D134" s="28" t="s">
        <v>9</v>
      </c>
      <c r="E134" s="34">
        <f t="shared" si="1"/>
        <v>1.9975937101641052E-3</v>
      </c>
    </row>
    <row r="135" spans="1:5" ht="15.75" customHeight="1" x14ac:dyDescent="0.3">
      <c r="A135" s="28">
        <v>26</v>
      </c>
      <c r="B135" s="29">
        <v>9.3000000000000007</v>
      </c>
      <c r="C135" s="31">
        <v>78.83</v>
      </c>
      <c r="D135" s="28" t="s">
        <v>9</v>
      </c>
      <c r="E135" s="34">
        <f t="shared" ref="E135:E198" si="2">C135/C$667</f>
        <v>1.9875086731318491E-3</v>
      </c>
    </row>
    <row r="136" spans="1:5" ht="15.75" customHeight="1" x14ac:dyDescent="0.3">
      <c r="A136" s="28">
        <v>21</v>
      </c>
      <c r="B136" s="29">
        <v>9.15</v>
      </c>
      <c r="C136" s="31">
        <v>78.58</v>
      </c>
      <c r="D136" s="28" t="s">
        <v>9</v>
      </c>
      <c r="E136" s="34">
        <f t="shared" si="2"/>
        <v>1.9812055249866893E-3</v>
      </c>
    </row>
    <row r="137" spans="1:5" ht="15.75" customHeight="1" x14ac:dyDescent="0.3">
      <c r="A137" s="28">
        <v>36</v>
      </c>
      <c r="B137" s="29">
        <v>9.99</v>
      </c>
      <c r="C137" s="31">
        <v>78.39</v>
      </c>
      <c r="D137" s="28" t="s">
        <v>8</v>
      </c>
      <c r="E137" s="34">
        <f t="shared" si="2"/>
        <v>1.9764151323963678E-3</v>
      </c>
    </row>
    <row r="138" spans="1:5" ht="15.75" customHeight="1" x14ac:dyDescent="0.3">
      <c r="A138" s="28">
        <v>44</v>
      </c>
      <c r="B138" s="29">
        <v>9.9600000000000009</v>
      </c>
      <c r="C138" s="31">
        <v>78.3</v>
      </c>
      <c r="D138" s="28" t="s">
        <v>8</v>
      </c>
      <c r="E138" s="34">
        <f t="shared" si="2"/>
        <v>1.9741459990641097E-3</v>
      </c>
    </row>
    <row r="139" spans="1:5" ht="15.75" customHeight="1" x14ac:dyDescent="0.3">
      <c r="A139" s="28">
        <v>29</v>
      </c>
      <c r="B139" s="29">
        <v>9.02</v>
      </c>
      <c r="C139" s="31">
        <v>78.27</v>
      </c>
      <c r="D139" s="28" t="s">
        <v>8</v>
      </c>
      <c r="E139" s="34">
        <f t="shared" si="2"/>
        <v>1.9733896212866908E-3</v>
      </c>
    </row>
    <row r="140" spans="1:5" ht="15.75" customHeight="1" x14ac:dyDescent="0.3">
      <c r="A140" s="28">
        <v>14</v>
      </c>
      <c r="B140" s="29">
        <v>6.27</v>
      </c>
      <c r="C140" s="31">
        <v>78.2</v>
      </c>
      <c r="D140" s="28" t="s">
        <v>9</v>
      </c>
      <c r="E140" s="34">
        <f t="shared" si="2"/>
        <v>1.9716247398060462E-3</v>
      </c>
    </row>
    <row r="141" spans="1:5" ht="15.75" customHeight="1" x14ac:dyDescent="0.3">
      <c r="A141" s="28">
        <v>45</v>
      </c>
      <c r="B141" s="29">
        <v>11.8</v>
      </c>
      <c r="C141" s="31">
        <v>78.2</v>
      </c>
      <c r="D141" s="28" t="s">
        <v>9</v>
      </c>
      <c r="E141" s="34">
        <f t="shared" si="2"/>
        <v>1.9716247398060462E-3</v>
      </c>
    </row>
    <row r="142" spans="1:5" ht="15.75" customHeight="1" x14ac:dyDescent="0.3">
      <c r="A142" s="28">
        <v>48</v>
      </c>
      <c r="B142" s="29">
        <v>5.86</v>
      </c>
      <c r="C142" s="31">
        <v>77.989999999999995</v>
      </c>
      <c r="D142" s="28" t="s">
        <v>9</v>
      </c>
      <c r="E142" s="34">
        <f t="shared" si="2"/>
        <v>1.9663300953641116E-3</v>
      </c>
    </row>
    <row r="143" spans="1:5" ht="15.75" customHeight="1" x14ac:dyDescent="0.3">
      <c r="A143" s="28">
        <v>28</v>
      </c>
      <c r="B143" s="29">
        <v>9.8699999999999992</v>
      </c>
      <c r="C143" s="31">
        <v>77.92</v>
      </c>
      <c r="D143" s="28" t="s">
        <v>9</v>
      </c>
      <c r="E143" s="34">
        <f t="shared" si="2"/>
        <v>1.9645652138834666E-3</v>
      </c>
    </row>
    <row r="144" spans="1:5" ht="15.75" customHeight="1" x14ac:dyDescent="0.3">
      <c r="A144" s="28">
        <v>6</v>
      </c>
      <c r="B144" s="29">
        <v>9.0500000000000007</v>
      </c>
      <c r="C144" s="31">
        <v>77.84</v>
      </c>
      <c r="D144" s="28" t="s">
        <v>8</v>
      </c>
      <c r="E144" s="34">
        <f t="shared" si="2"/>
        <v>1.9625482064770158E-3</v>
      </c>
    </row>
    <row r="145" spans="1:5" ht="15.75" customHeight="1" x14ac:dyDescent="0.3">
      <c r="A145" s="28">
        <v>24</v>
      </c>
      <c r="B145" s="29">
        <v>9.31</v>
      </c>
      <c r="C145" s="31">
        <v>77.760000000000005</v>
      </c>
      <c r="D145" s="28" t="s">
        <v>9</v>
      </c>
      <c r="E145" s="34">
        <f t="shared" si="2"/>
        <v>1.9605311990705645E-3</v>
      </c>
    </row>
    <row r="146" spans="1:5" ht="15.75" customHeight="1" x14ac:dyDescent="0.3">
      <c r="A146" s="28">
        <v>44</v>
      </c>
      <c r="B146" s="29">
        <v>5.67</v>
      </c>
      <c r="C146" s="31">
        <v>77.45</v>
      </c>
      <c r="D146" s="28" t="s">
        <v>9</v>
      </c>
      <c r="E146" s="34">
        <f t="shared" si="2"/>
        <v>1.9527152953705659E-3</v>
      </c>
    </row>
    <row r="147" spans="1:5" ht="15.75" customHeight="1" x14ac:dyDescent="0.3">
      <c r="A147" s="28">
        <v>62</v>
      </c>
      <c r="B147" s="29">
        <v>9.91</v>
      </c>
      <c r="C147" s="31">
        <v>77.400000000000006</v>
      </c>
      <c r="D147" s="28" t="s">
        <v>8</v>
      </c>
      <c r="E147" s="34">
        <f t="shared" si="2"/>
        <v>1.9514546657415342E-3</v>
      </c>
    </row>
    <row r="148" spans="1:5" ht="15.75" customHeight="1" x14ac:dyDescent="0.3">
      <c r="A148" s="28">
        <v>11</v>
      </c>
      <c r="B148" s="29">
        <v>8.19</v>
      </c>
      <c r="C148" s="31">
        <v>77.39</v>
      </c>
      <c r="D148" s="28" t="s">
        <v>9</v>
      </c>
      <c r="E148" s="34">
        <f t="shared" si="2"/>
        <v>1.9512025398157277E-3</v>
      </c>
    </row>
    <row r="149" spans="1:5" ht="15.75" customHeight="1" x14ac:dyDescent="0.3">
      <c r="A149" s="28">
        <v>48</v>
      </c>
      <c r="B149" s="29">
        <v>9.58</v>
      </c>
      <c r="C149" s="31">
        <v>77.38</v>
      </c>
      <c r="D149" s="28" t="s">
        <v>8</v>
      </c>
      <c r="E149" s="34">
        <f t="shared" si="2"/>
        <v>1.9509504138899212E-3</v>
      </c>
    </row>
    <row r="150" spans="1:5" ht="15.75" customHeight="1" x14ac:dyDescent="0.3">
      <c r="A150" s="28">
        <v>30</v>
      </c>
      <c r="B150" s="29">
        <v>9.24</v>
      </c>
      <c r="C150" s="31">
        <v>77.36</v>
      </c>
      <c r="D150" s="28" t="s">
        <v>9</v>
      </c>
      <c r="E150" s="34">
        <f t="shared" si="2"/>
        <v>1.9504461620383083E-3</v>
      </c>
    </row>
    <row r="151" spans="1:5" ht="15.75" customHeight="1" x14ac:dyDescent="0.3">
      <c r="A151" s="28">
        <v>41</v>
      </c>
      <c r="B151" s="29">
        <v>5.74</v>
      </c>
      <c r="C151" s="31">
        <v>77.319999999999993</v>
      </c>
      <c r="D151" s="28" t="s">
        <v>9</v>
      </c>
      <c r="E151" s="34">
        <f t="shared" si="2"/>
        <v>1.9494376583350827E-3</v>
      </c>
    </row>
    <row r="152" spans="1:5" ht="15.75" customHeight="1" x14ac:dyDescent="0.3">
      <c r="A152" s="28">
        <v>14</v>
      </c>
      <c r="B152" s="29">
        <v>7.18</v>
      </c>
      <c r="C152" s="31">
        <v>77.290000000000006</v>
      </c>
      <c r="D152" s="28" t="s">
        <v>8</v>
      </c>
      <c r="E152" s="34">
        <f t="shared" si="2"/>
        <v>1.9486812805576638E-3</v>
      </c>
    </row>
    <row r="153" spans="1:5" ht="15.75" customHeight="1" x14ac:dyDescent="0.3">
      <c r="A153" s="28">
        <v>18</v>
      </c>
      <c r="B153" s="29">
        <v>8.1</v>
      </c>
      <c r="C153" s="31">
        <v>77.16</v>
      </c>
      <c r="D153" s="28" t="s">
        <v>8</v>
      </c>
      <c r="E153" s="34">
        <f t="shared" si="2"/>
        <v>1.9454036435221803E-3</v>
      </c>
    </row>
    <row r="154" spans="1:5" ht="15.75" customHeight="1" x14ac:dyDescent="0.3">
      <c r="A154" s="28">
        <v>31</v>
      </c>
      <c r="B154" s="29">
        <v>8.92</v>
      </c>
      <c r="C154" s="31">
        <v>77.150000000000006</v>
      </c>
      <c r="D154" s="28" t="s">
        <v>8</v>
      </c>
      <c r="E154" s="34">
        <f t="shared" si="2"/>
        <v>1.9451515175963742E-3</v>
      </c>
    </row>
    <row r="155" spans="1:5" ht="15.75" customHeight="1" x14ac:dyDescent="0.3">
      <c r="A155" s="28">
        <v>15</v>
      </c>
      <c r="B155" s="29">
        <v>10.9</v>
      </c>
      <c r="C155" s="31">
        <v>77.13</v>
      </c>
      <c r="D155" s="28" t="s">
        <v>9</v>
      </c>
      <c r="E155" s="34">
        <f t="shared" si="2"/>
        <v>1.9446472657447611E-3</v>
      </c>
    </row>
    <row r="156" spans="1:5" ht="15.75" customHeight="1" x14ac:dyDescent="0.3">
      <c r="A156" s="28">
        <v>36</v>
      </c>
      <c r="B156" s="29">
        <v>9.0299999999999994</v>
      </c>
      <c r="C156" s="31">
        <v>77.069999999999993</v>
      </c>
      <c r="D156" s="28" t="s">
        <v>8</v>
      </c>
      <c r="E156" s="34">
        <f t="shared" si="2"/>
        <v>1.9431345101899227E-3</v>
      </c>
    </row>
    <row r="157" spans="1:5" ht="15.75" customHeight="1" x14ac:dyDescent="0.3">
      <c r="A157" s="28">
        <v>13</v>
      </c>
      <c r="B157" s="29">
        <v>8.24</v>
      </c>
      <c r="C157" s="31">
        <v>76.959999999999994</v>
      </c>
      <c r="D157" s="28" t="s">
        <v>8</v>
      </c>
      <c r="E157" s="34">
        <f t="shared" si="2"/>
        <v>1.9403611250060522E-3</v>
      </c>
    </row>
    <row r="158" spans="1:5" ht="15.75" customHeight="1" x14ac:dyDescent="0.3">
      <c r="A158" s="28">
        <v>24</v>
      </c>
      <c r="B158" s="29">
        <v>6.56</v>
      </c>
      <c r="C158" s="31">
        <v>76.7</v>
      </c>
      <c r="D158" s="28" t="s">
        <v>9</v>
      </c>
      <c r="E158" s="34">
        <f t="shared" si="2"/>
        <v>1.9338058509350861E-3</v>
      </c>
    </row>
    <row r="159" spans="1:5" ht="15.75" customHeight="1" x14ac:dyDescent="0.3">
      <c r="A159" s="28">
        <v>24</v>
      </c>
      <c r="B159" s="29">
        <v>9.2799999999999994</v>
      </c>
      <c r="C159" s="31">
        <v>76.55</v>
      </c>
      <c r="D159" s="28" t="s">
        <v>8</v>
      </c>
      <c r="E159" s="34">
        <f t="shared" si="2"/>
        <v>1.93002396204799E-3</v>
      </c>
    </row>
    <row r="160" spans="1:5" ht="15.75" customHeight="1" x14ac:dyDescent="0.3">
      <c r="A160" s="28">
        <v>7</v>
      </c>
      <c r="B160" s="29">
        <v>4.4400000000000004</v>
      </c>
      <c r="C160" s="31">
        <v>76.47</v>
      </c>
      <c r="D160" s="28" t="s">
        <v>8</v>
      </c>
      <c r="E160" s="34">
        <f t="shared" si="2"/>
        <v>1.9280069546415387E-3</v>
      </c>
    </row>
    <row r="161" spans="1:5" ht="15.75" customHeight="1" x14ac:dyDescent="0.3">
      <c r="A161" s="28">
        <v>18</v>
      </c>
      <c r="B161" s="29">
        <v>9.1999999999999993</v>
      </c>
      <c r="C161" s="31">
        <v>76.39</v>
      </c>
      <c r="D161" s="28" t="s">
        <v>8</v>
      </c>
      <c r="E161" s="34">
        <f t="shared" si="2"/>
        <v>1.9259899472350876E-3</v>
      </c>
    </row>
    <row r="162" spans="1:5" ht="15.75" customHeight="1" x14ac:dyDescent="0.3">
      <c r="A162" s="28">
        <v>15</v>
      </c>
      <c r="B162" s="29">
        <v>4.96</v>
      </c>
      <c r="C162" s="31">
        <v>76.37</v>
      </c>
      <c r="D162" s="28" t="s">
        <v>9</v>
      </c>
      <c r="E162" s="34">
        <f t="shared" si="2"/>
        <v>1.925485695383475E-3</v>
      </c>
    </row>
    <row r="163" spans="1:5" ht="15.75" customHeight="1" x14ac:dyDescent="0.3">
      <c r="A163" s="28">
        <v>29</v>
      </c>
      <c r="B163" s="29">
        <v>6.91</v>
      </c>
      <c r="C163" s="31">
        <v>76.37</v>
      </c>
      <c r="D163" s="28" t="s">
        <v>9</v>
      </c>
      <c r="E163" s="34">
        <f t="shared" si="2"/>
        <v>1.925485695383475E-3</v>
      </c>
    </row>
    <row r="164" spans="1:5" ht="15.75" customHeight="1" x14ac:dyDescent="0.3">
      <c r="A164" s="28">
        <v>20</v>
      </c>
      <c r="B164" s="29">
        <v>4.78</v>
      </c>
      <c r="C164" s="31">
        <v>76.27</v>
      </c>
      <c r="D164" s="28" t="s">
        <v>9</v>
      </c>
      <c r="E164" s="34">
        <f t="shared" si="2"/>
        <v>1.9229644361254106E-3</v>
      </c>
    </row>
    <row r="165" spans="1:5" ht="15.75" customHeight="1" x14ac:dyDescent="0.3">
      <c r="A165" s="28">
        <v>24</v>
      </c>
      <c r="B165" s="29">
        <v>8.83</v>
      </c>
      <c r="C165" s="31">
        <v>76.27</v>
      </c>
      <c r="D165" s="28" t="s">
        <v>9</v>
      </c>
      <c r="E165" s="34">
        <f t="shared" si="2"/>
        <v>1.9229644361254106E-3</v>
      </c>
    </row>
    <row r="166" spans="1:5" ht="15.75" customHeight="1" x14ac:dyDescent="0.3">
      <c r="A166" s="28">
        <v>9</v>
      </c>
      <c r="B166" s="29">
        <v>6.5</v>
      </c>
      <c r="C166" s="31">
        <v>76.010000000000005</v>
      </c>
      <c r="D166" s="28" t="s">
        <v>8</v>
      </c>
      <c r="E166" s="34">
        <f t="shared" si="2"/>
        <v>1.9164091620544445E-3</v>
      </c>
    </row>
    <row r="167" spans="1:5" ht="15.75" customHeight="1" x14ac:dyDescent="0.3">
      <c r="A167" s="28">
        <v>32</v>
      </c>
      <c r="B167" s="29">
        <v>7.38</v>
      </c>
      <c r="C167" s="31">
        <v>75.75</v>
      </c>
      <c r="D167" s="28" t="s">
        <v>9</v>
      </c>
      <c r="E167" s="34">
        <f t="shared" si="2"/>
        <v>1.909853887983478E-3</v>
      </c>
    </row>
    <row r="168" spans="1:5" ht="15.75" customHeight="1" x14ac:dyDescent="0.3">
      <c r="A168" s="28">
        <v>18</v>
      </c>
      <c r="B168" s="29">
        <v>9.99</v>
      </c>
      <c r="C168" s="31">
        <v>75.739999999999995</v>
      </c>
      <c r="D168" s="28" t="s">
        <v>8</v>
      </c>
      <c r="E168" s="34">
        <f t="shared" si="2"/>
        <v>1.9096017620576714E-3</v>
      </c>
    </row>
    <row r="169" spans="1:5" ht="15.75" customHeight="1" x14ac:dyDescent="0.3">
      <c r="A169" s="28">
        <v>4</v>
      </c>
      <c r="B169" s="29">
        <v>9.42</v>
      </c>
      <c r="C169" s="31">
        <v>75.459999999999994</v>
      </c>
      <c r="D169" s="28" t="s">
        <v>8</v>
      </c>
      <c r="E169" s="34">
        <f t="shared" si="2"/>
        <v>1.9025422361350923E-3</v>
      </c>
    </row>
    <row r="170" spans="1:5" ht="15.75" customHeight="1" x14ac:dyDescent="0.3">
      <c r="A170" s="28">
        <v>19</v>
      </c>
      <c r="B170" s="29">
        <v>7.73</v>
      </c>
      <c r="C170" s="31">
        <v>75.430000000000007</v>
      </c>
      <c r="D170" s="28" t="s">
        <v>9</v>
      </c>
      <c r="E170" s="34">
        <f t="shared" si="2"/>
        <v>1.9017858583576734E-3</v>
      </c>
    </row>
    <row r="171" spans="1:5" ht="15.75" customHeight="1" x14ac:dyDescent="0.3">
      <c r="A171" s="28">
        <v>46</v>
      </c>
      <c r="B171" s="29">
        <v>9.4700000000000006</v>
      </c>
      <c r="C171" s="31">
        <v>75.08</v>
      </c>
      <c r="D171" s="28" t="s">
        <v>9</v>
      </c>
      <c r="E171" s="34">
        <f t="shared" si="2"/>
        <v>1.8929614509544492E-3</v>
      </c>
    </row>
    <row r="172" spans="1:5" ht="15.75" customHeight="1" x14ac:dyDescent="0.3">
      <c r="A172" s="28">
        <v>18</v>
      </c>
      <c r="B172" s="29">
        <v>7.54</v>
      </c>
      <c r="C172" s="31">
        <v>75.03</v>
      </c>
      <c r="D172" s="28" t="s">
        <v>8</v>
      </c>
      <c r="E172" s="34">
        <f t="shared" si="2"/>
        <v>1.8917008213254172E-3</v>
      </c>
    </row>
    <row r="173" spans="1:5" ht="15.75" customHeight="1" x14ac:dyDescent="0.3">
      <c r="A173" s="28">
        <v>23</v>
      </c>
      <c r="B173" s="29">
        <v>11.8</v>
      </c>
      <c r="C173" s="31">
        <v>74.97</v>
      </c>
      <c r="D173" s="28" t="s">
        <v>9</v>
      </c>
      <c r="E173" s="34">
        <f t="shared" si="2"/>
        <v>1.8901880657705788E-3</v>
      </c>
    </row>
    <row r="174" spans="1:5" ht="15.75" customHeight="1" x14ac:dyDescent="0.3">
      <c r="A174" s="28">
        <v>51</v>
      </c>
      <c r="B174" s="29">
        <v>6.86</v>
      </c>
      <c r="C174" s="31">
        <v>74.760000000000005</v>
      </c>
      <c r="D174" s="28" t="s">
        <v>8</v>
      </c>
      <c r="E174" s="34">
        <f t="shared" si="2"/>
        <v>1.8848934213286446E-3</v>
      </c>
    </row>
    <row r="175" spans="1:5" ht="15.75" customHeight="1" x14ac:dyDescent="0.3">
      <c r="A175" s="28">
        <v>46</v>
      </c>
      <c r="B175" s="29">
        <v>8.14</v>
      </c>
      <c r="C175" s="31">
        <v>74.739999999999995</v>
      </c>
      <c r="D175" s="28" t="s">
        <v>9</v>
      </c>
      <c r="E175" s="34">
        <f t="shared" si="2"/>
        <v>1.8843891694770316E-3</v>
      </c>
    </row>
    <row r="176" spans="1:5" ht="15.75" customHeight="1" x14ac:dyDescent="0.3">
      <c r="A176" s="28">
        <v>35</v>
      </c>
      <c r="B176" s="29">
        <v>5.58</v>
      </c>
      <c r="C176" s="31">
        <v>74.44</v>
      </c>
      <c r="D176" s="28" t="s">
        <v>9</v>
      </c>
      <c r="E176" s="34">
        <f t="shared" si="2"/>
        <v>1.8768253917028396E-3</v>
      </c>
    </row>
    <row r="177" spans="1:5" ht="15.75" customHeight="1" x14ac:dyDescent="0.3">
      <c r="A177" s="28">
        <v>20</v>
      </c>
      <c r="B177" s="29">
        <v>6.68</v>
      </c>
      <c r="C177" s="31">
        <v>74.41</v>
      </c>
      <c r="D177" s="28" t="s">
        <v>9</v>
      </c>
      <c r="E177" s="34">
        <f t="shared" si="2"/>
        <v>1.8760690139254205E-3</v>
      </c>
    </row>
    <row r="178" spans="1:5" ht="15.75" customHeight="1" x14ac:dyDescent="0.3">
      <c r="A178" s="28">
        <v>41</v>
      </c>
      <c r="B178" s="29">
        <v>9.23</v>
      </c>
      <c r="C178" s="31">
        <v>74.239999999999995</v>
      </c>
      <c r="D178" s="28" t="s">
        <v>8</v>
      </c>
      <c r="E178" s="34">
        <f t="shared" si="2"/>
        <v>1.8717828731867115E-3</v>
      </c>
    </row>
    <row r="179" spans="1:5" ht="15.75" customHeight="1" x14ac:dyDescent="0.3">
      <c r="A179" s="28">
        <v>31</v>
      </c>
      <c r="B179" s="29">
        <v>9.73</v>
      </c>
      <c r="C179" s="31">
        <v>74.14</v>
      </c>
      <c r="D179" s="28" t="s">
        <v>8</v>
      </c>
      <c r="E179" s="34">
        <f t="shared" si="2"/>
        <v>1.8692616139286476E-3</v>
      </c>
    </row>
    <row r="180" spans="1:5" ht="15.75" customHeight="1" x14ac:dyDescent="0.3">
      <c r="A180" s="28">
        <v>35</v>
      </c>
      <c r="B180" s="29">
        <v>5.05</v>
      </c>
      <c r="C180" s="31">
        <v>74.09</v>
      </c>
      <c r="D180" s="28" t="s">
        <v>9</v>
      </c>
      <c r="E180" s="34">
        <f t="shared" si="2"/>
        <v>1.8680009842996159E-3</v>
      </c>
    </row>
    <row r="181" spans="1:5" ht="15.75" customHeight="1" x14ac:dyDescent="0.3">
      <c r="A181" s="28">
        <v>45</v>
      </c>
      <c r="B181" s="29">
        <v>8.7100000000000009</v>
      </c>
      <c r="C181" s="31">
        <v>73.91</v>
      </c>
      <c r="D181" s="28" t="s">
        <v>8</v>
      </c>
      <c r="E181" s="34">
        <f t="shared" si="2"/>
        <v>1.8634627176351004E-3</v>
      </c>
    </row>
    <row r="182" spans="1:5" ht="15.75" customHeight="1" x14ac:dyDescent="0.3">
      <c r="A182" s="28">
        <v>30</v>
      </c>
      <c r="B182" s="29">
        <v>9.18</v>
      </c>
      <c r="C182" s="31">
        <v>73.87</v>
      </c>
      <c r="D182" s="28" t="s">
        <v>8</v>
      </c>
      <c r="E182" s="34">
        <f t="shared" si="2"/>
        <v>1.862454213931875E-3</v>
      </c>
    </row>
    <row r="183" spans="1:5" ht="15.75" customHeight="1" x14ac:dyDescent="0.3">
      <c r="A183" s="28">
        <v>18</v>
      </c>
      <c r="B183" s="29">
        <v>7.57</v>
      </c>
      <c r="C183" s="31">
        <v>73.78</v>
      </c>
      <c r="D183" s="28" t="s">
        <v>9</v>
      </c>
      <c r="E183" s="34">
        <f t="shared" si="2"/>
        <v>1.8601850805996174E-3</v>
      </c>
    </row>
    <row r="184" spans="1:5" ht="15.75" customHeight="1" x14ac:dyDescent="0.3">
      <c r="A184" s="28">
        <v>28</v>
      </c>
      <c r="B184" s="29">
        <v>7.6</v>
      </c>
      <c r="C184" s="31">
        <v>73.75</v>
      </c>
      <c r="D184" s="28" t="s">
        <v>8</v>
      </c>
      <c r="E184" s="34">
        <f t="shared" si="2"/>
        <v>1.859428702822198E-3</v>
      </c>
    </row>
    <row r="185" spans="1:5" ht="15.75" customHeight="1" x14ac:dyDescent="0.3">
      <c r="A185" s="28">
        <v>27</v>
      </c>
      <c r="B185" s="29">
        <v>5.05</v>
      </c>
      <c r="C185" s="31">
        <v>73.69</v>
      </c>
      <c r="D185" s="28" t="s">
        <v>9</v>
      </c>
      <c r="E185" s="34">
        <f t="shared" si="2"/>
        <v>1.8579159472673595E-3</v>
      </c>
    </row>
    <row r="186" spans="1:5" ht="15.75" customHeight="1" x14ac:dyDescent="0.3">
      <c r="A186" s="28">
        <v>8</v>
      </c>
      <c r="B186" s="29">
        <v>9.1999999999999993</v>
      </c>
      <c r="C186" s="31">
        <v>73.45</v>
      </c>
      <c r="D186" s="28" t="s">
        <v>9</v>
      </c>
      <c r="E186" s="34">
        <f t="shared" si="2"/>
        <v>1.8518649250480062E-3</v>
      </c>
    </row>
    <row r="187" spans="1:5" ht="15.75" customHeight="1" x14ac:dyDescent="0.3">
      <c r="A187" s="28">
        <v>29</v>
      </c>
      <c r="B187" s="29">
        <v>6.32</v>
      </c>
      <c r="C187" s="31">
        <v>73.260000000000005</v>
      </c>
      <c r="D187" s="28" t="s">
        <v>9</v>
      </c>
      <c r="E187" s="34">
        <f t="shared" si="2"/>
        <v>1.8470745324576847E-3</v>
      </c>
    </row>
    <row r="188" spans="1:5" ht="15.75" customHeight="1" x14ac:dyDescent="0.3">
      <c r="A188" s="28">
        <v>48</v>
      </c>
      <c r="B188" s="29">
        <v>6.78</v>
      </c>
      <c r="C188" s="31">
        <v>73.25</v>
      </c>
      <c r="D188" s="28" t="s">
        <v>9</v>
      </c>
      <c r="E188" s="34">
        <f t="shared" si="2"/>
        <v>1.8468224065318782E-3</v>
      </c>
    </row>
    <row r="189" spans="1:5" ht="15.75" customHeight="1" x14ac:dyDescent="0.3">
      <c r="A189" s="28">
        <v>36</v>
      </c>
      <c r="B189" s="29">
        <v>8.8800000000000008</v>
      </c>
      <c r="C189" s="31">
        <v>73.25</v>
      </c>
      <c r="D189" s="28" t="s">
        <v>9</v>
      </c>
      <c r="E189" s="34">
        <f t="shared" si="2"/>
        <v>1.8468224065318782E-3</v>
      </c>
    </row>
    <row r="190" spans="1:5" ht="15.75" customHeight="1" x14ac:dyDescent="0.3">
      <c r="A190" s="28">
        <v>15</v>
      </c>
      <c r="B190" s="29">
        <v>9.5299999999999994</v>
      </c>
      <c r="C190" s="31">
        <v>73.02</v>
      </c>
      <c r="D190" s="28" t="s">
        <v>9</v>
      </c>
      <c r="E190" s="34">
        <f t="shared" si="2"/>
        <v>1.8410235102383308E-3</v>
      </c>
    </row>
    <row r="191" spans="1:5" ht="15.75" customHeight="1" x14ac:dyDescent="0.3">
      <c r="A191" s="28">
        <v>35</v>
      </c>
      <c r="B191" s="29">
        <v>8.74</v>
      </c>
      <c r="C191" s="31">
        <v>72.92</v>
      </c>
      <c r="D191" s="28" t="s">
        <v>9</v>
      </c>
      <c r="E191" s="34">
        <f t="shared" si="2"/>
        <v>1.8385022509802668E-3</v>
      </c>
    </row>
    <row r="192" spans="1:5" ht="15.75" customHeight="1" x14ac:dyDescent="0.3">
      <c r="A192" s="28">
        <v>55</v>
      </c>
      <c r="B192" s="29">
        <v>8.69</v>
      </c>
      <c r="C192" s="31">
        <v>72.78</v>
      </c>
      <c r="D192" s="28" t="s">
        <v>9</v>
      </c>
      <c r="E192" s="34">
        <f t="shared" si="2"/>
        <v>1.8349724880189773E-3</v>
      </c>
    </row>
    <row r="193" spans="1:5" ht="15.75" customHeight="1" x14ac:dyDescent="0.3">
      <c r="A193" s="28">
        <v>18</v>
      </c>
      <c r="B193" s="29">
        <v>8.39</v>
      </c>
      <c r="C193" s="31">
        <v>72.72</v>
      </c>
      <c r="D193" s="28" t="s">
        <v>8</v>
      </c>
      <c r="E193" s="34">
        <f t="shared" si="2"/>
        <v>1.8334597324641388E-3</v>
      </c>
    </row>
    <row r="194" spans="1:5" ht="15.75" customHeight="1" x14ac:dyDescent="0.3">
      <c r="A194" s="28">
        <v>33</v>
      </c>
      <c r="B194" s="29">
        <v>9.19</v>
      </c>
      <c r="C194" s="31">
        <v>72.56</v>
      </c>
      <c r="D194" s="28" t="s">
        <v>8</v>
      </c>
      <c r="E194" s="34">
        <f t="shared" si="2"/>
        <v>1.8294257176512366E-3</v>
      </c>
    </row>
    <row r="195" spans="1:5" ht="15.75" customHeight="1" x14ac:dyDescent="0.3">
      <c r="A195" s="28">
        <v>6</v>
      </c>
      <c r="B195" s="29">
        <v>8.98</v>
      </c>
      <c r="C195" s="31">
        <v>72.540000000000006</v>
      </c>
      <c r="D195" s="28" t="s">
        <v>8</v>
      </c>
      <c r="E195" s="34">
        <f t="shared" si="2"/>
        <v>1.8289214657996238E-3</v>
      </c>
    </row>
    <row r="196" spans="1:5" ht="15.75" customHeight="1" x14ac:dyDescent="0.3">
      <c r="A196" s="28">
        <v>22</v>
      </c>
      <c r="B196" s="29">
        <v>9.1999999999999993</v>
      </c>
      <c r="C196" s="31">
        <v>72.510000000000005</v>
      </c>
      <c r="D196" s="28" t="s">
        <v>9</v>
      </c>
      <c r="E196" s="34">
        <f t="shared" si="2"/>
        <v>1.8281650880222046E-3</v>
      </c>
    </row>
    <row r="197" spans="1:5" ht="15.75" customHeight="1" x14ac:dyDescent="0.3">
      <c r="A197" s="28">
        <v>39</v>
      </c>
      <c r="B197" s="29">
        <v>8.93</v>
      </c>
      <c r="C197" s="31">
        <v>72.44</v>
      </c>
      <c r="D197" s="28" t="s">
        <v>8</v>
      </c>
      <c r="E197" s="34">
        <f t="shared" si="2"/>
        <v>1.8264002065415596E-3</v>
      </c>
    </row>
    <row r="198" spans="1:5" ht="15.75" customHeight="1" x14ac:dyDescent="0.3">
      <c r="A198" s="28">
        <v>4</v>
      </c>
      <c r="B198" s="29">
        <v>9.86</v>
      </c>
      <c r="C198" s="31">
        <v>72.349999999999994</v>
      </c>
      <c r="D198" s="28" t="s">
        <v>9</v>
      </c>
      <c r="E198" s="34">
        <f t="shared" si="2"/>
        <v>1.824131073209302E-3</v>
      </c>
    </row>
    <row r="199" spans="1:5" ht="15.75" customHeight="1" x14ac:dyDescent="0.3">
      <c r="A199" s="28">
        <v>3</v>
      </c>
      <c r="B199" s="29">
        <v>8.1199999999999992</v>
      </c>
      <c r="C199" s="31">
        <v>72.25</v>
      </c>
      <c r="D199" s="28" t="s">
        <v>8</v>
      </c>
      <c r="E199" s="34">
        <f t="shared" ref="E199:E262" si="3">C199/C$667</f>
        <v>1.8216098139512381E-3</v>
      </c>
    </row>
    <row r="200" spans="1:5" ht="15.75" customHeight="1" x14ac:dyDescent="0.3">
      <c r="A200" s="28">
        <v>5</v>
      </c>
      <c r="B200" s="29">
        <v>5.73</v>
      </c>
      <c r="C200" s="31">
        <v>71.98</v>
      </c>
      <c r="D200" s="28" t="s">
        <v>9</v>
      </c>
      <c r="E200" s="34">
        <f t="shared" si="3"/>
        <v>1.8148024139544654E-3</v>
      </c>
    </row>
    <row r="201" spans="1:5" ht="15.75" customHeight="1" x14ac:dyDescent="0.3">
      <c r="A201" s="28">
        <v>28</v>
      </c>
      <c r="B201" s="29">
        <v>6.93</v>
      </c>
      <c r="C201" s="31">
        <v>71.62</v>
      </c>
      <c r="D201" s="28" t="s">
        <v>9</v>
      </c>
      <c r="E201" s="34">
        <f t="shared" si="3"/>
        <v>1.805725880625435E-3</v>
      </c>
    </row>
    <row r="202" spans="1:5" ht="15.75" customHeight="1" x14ac:dyDescent="0.3">
      <c r="A202" s="28">
        <v>6</v>
      </c>
      <c r="B202" s="29">
        <v>7.33</v>
      </c>
      <c r="C202" s="31">
        <v>71.599999999999994</v>
      </c>
      <c r="D202" s="28" t="s">
        <v>9</v>
      </c>
      <c r="E202" s="34">
        <f t="shared" si="3"/>
        <v>1.8052216287738219E-3</v>
      </c>
    </row>
    <row r="203" spans="1:5" ht="15.75" customHeight="1" x14ac:dyDescent="0.3">
      <c r="A203" s="28">
        <v>26</v>
      </c>
      <c r="B203" s="29">
        <v>7.81</v>
      </c>
      <c r="C203" s="31">
        <v>71.47</v>
      </c>
      <c r="D203" s="28" t="s">
        <v>9</v>
      </c>
      <c r="E203" s="34">
        <f t="shared" si="3"/>
        <v>1.8019439917383389E-3</v>
      </c>
    </row>
    <row r="204" spans="1:5" ht="15.75" customHeight="1" x14ac:dyDescent="0.3">
      <c r="A204" s="28">
        <v>25</v>
      </c>
      <c r="B204" s="29">
        <v>6.16</v>
      </c>
      <c r="C204" s="31">
        <v>71.33</v>
      </c>
      <c r="D204" s="28" t="s">
        <v>8</v>
      </c>
      <c r="E204" s="34">
        <f t="shared" si="3"/>
        <v>1.7984142287770493E-3</v>
      </c>
    </row>
    <row r="205" spans="1:5" ht="15.75" customHeight="1" x14ac:dyDescent="0.3">
      <c r="A205" s="28">
        <v>15</v>
      </c>
      <c r="B205" s="29">
        <v>9.59</v>
      </c>
      <c r="C205" s="31">
        <v>71.150000000000006</v>
      </c>
      <c r="D205" s="28" t="s">
        <v>8</v>
      </c>
      <c r="E205" s="34">
        <f t="shared" si="3"/>
        <v>1.7938759621125343E-3</v>
      </c>
    </row>
    <row r="206" spans="1:5" ht="15.75" customHeight="1" x14ac:dyDescent="0.3">
      <c r="A206" s="28">
        <v>49</v>
      </c>
      <c r="B206" s="29">
        <v>5.61</v>
      </c>
      <c r="C206" s="31">
        <v>71.069999999999993</v>
      </c>
      <c r="D206" s="28" t="s">
        <v>9</v>
      </c>
      <c r="E206" s="34">
        <f t="shared" si="3"/>
        <v>1.7918589547060828E-3</v>
      </c>
    </row>
    <row r="207" spans="1:5" ht="15.75" customHeight="1" x14ac:dyDescent="0.3">
      <c r="A207" s="28">
        <v>33</v>
      </c>
      <c r="B207" s="29">
        <v>8.6199999999999992</v>
      </c>
      <c r="C207" s="31">
        <v>71.040000000000006</v>
      </c>
      <c r="D207" s="28" t="s">
        <v>9</v>
      </c>
      <c r="E207" s="34">
        <f t="shared" si="3"/>
        <v>1.7911025769286638E-3</v>
      </c>
    </row>
    <row r="208" spans="1:5" ht="15.75" customHeight="1" x14ac:dyDescent="0.3">
      <c r="A208" s="28">
        <v>41</v>
      </c>
      <c r="B208" s="29">
        <v>8.19</v>
      </c>
      <c r="C208" s="31">
        <v>70.88</v>
      </c>
      <c r="D208" s="28" t="s">
        <v>9</v>
      </c>
      <c r="E208" s="34">
        <f t="shared" si="3"/>
        <v>1.7870685621157612E-3</v>
      </c>
    </row>
    <row r="209" spans="1:5" ht="15.75" customHeight="1" x14ac:dyDescent="0.3">
      <c r="A209" s="28">
        <v>42</v>
      </c>
      <c r="B209" s="29">
        <v>6.71</v>
      </c>
      <c r="C209" s="31">
        <v>70.739999999999995</v>
      </c>
      <c r="D209" s="28" t="s">
        <v>9</v>
      </c>
      <c r="E209" s="34">
        <f t="shared" si="3"/>
        <v>1.7835387991544716E-3</v>
      </c>
    </row>
    <row r="210" spans="1:5" ht="15.75" customHeight="1" x14ac:dyDescent="0.3">
      <c r="A210" s="28">
        <v>53</v>
      </c>
      <c r="B210" s="29">
        <v>8.7200000000000006</v>
      </c>
      <c r="C210" s="31">
        <v>70.61</v>
      </c>
      <c r="D210" s="28" t="s">
        <v>8</v>
      </c>
      <c r="E210" s="34">
        <f t="shared" si="3"/>
        <v>1.7802611621189886E-3</v>
      </c>
    </row>
    <row r="211" spans="1:5" ht="15.75" customHeight="1" x14ac:dyDescent="0.3">
      <c r="A211" s="28">
        <v>13</v>
      </c>
      <c r="B211" s="29">
        <v>6.16</v>
      </c>
      <c r="C211" s="31">
        <v>70.489999999999995</v>
      </c>
      <c r="D211" s="28" t="s">
        <v>8</v>
      </c>
      <c r="E211" s="34">
        <f t="shared" si="3"/>
        <v>1.7772356510093116E-3</v>
      </c>
    </row>
    <row r="212" spans="1:5" ht="15.75" customHeight="1" x14ac:dyDescent="0.3">
      <c r="A212" s="28">
        <v>51</v>
      </c>
      <c r="B212" s="29">
        <v>8.34</v>
      </c>
      <c r="C212" s="31">
        <v>70.430000000000007</v>
      </c>
      <c r="D212" s="28" t="s">
        <v>9</v>
      </c>
      <c r="E212" s="34">
        <f t="shared" si="3"/>
        <v>1.7757228954544736E-3</v>
      </c>
    </row>
    <row r="213" spans="1:5" ht="15.75" customHeight="1" x14ac:dyDescent="0.3">
      <c r="A213" s="28">
        <v>6</v>
      </c>
      <c r="B213" s="29">
        <v>9.33</v>
      </c>
      <c r="C213" s="31">
        <v>70.38</v>
      </c>
      <c r="D213" s="28" t="s">
        <v>9</v>
      </c>
      <c r="E213" s="34">
        <f t="shared" si="3"/>
        <v>1.7744622658254412E-3</v>
      </c>
    </row>
    <row r="214" spans="1:5" ht="15.75" customHeight="1" x14ac:dyDescent="0.3">
      <c r="A214" s="28">
        <v>40</v>
      </c>
      <c r="B214" s="29">
        <v>5.5</v>
      </c>
      <c r="C214" s="31">
        <v>70.36</v>
      </c>
      <c r="D214" s="28" t="s">
        <v>9</v>
      </c>
      <c r="E214" s="34">
        <f t="shared" si="3"/>
        <v>1.7739580139738286E-3</v>
      </c>
    </row>
    <row r="215" spans="1:5" ht="15.75" customHeight="1" x14ac:dyDescent="0.3">
      <c r="A215" s="28">
        <v>67</v>
      </c>
      <c r="B215" s="29">
        <v>5.34</v>
      </c>
      <c r="C215" s="31">
        <v>70.22</v>
      </c>
      <c r="D215" s="28" t="s">
        <v>8</v>
      </c>
      <c r="E215" s="34">
        <f t="shared" si="3"/>
        <v>1.770428251012539E-3</v>
      </c>
    </row>
    <row r="216" spans="1:5" ht="15.75" customHeight="1" x14ac:dyDescent="0.3">
      <c r="A216" s="28">
        <v>42</v>
      </c>
      <c r="B216" s="29">
        <v>7.68</v>
      </c>
      <c r="C216" s="31">
        <v>70.06</v>
      </c>
      <c r="D216" s="28" t="s">
        <v>8</v>
      </c>
      <c r="E216" s="34">
        <f t="shared" si="3"/>
        <v>1.7663942361996366E-3</v>
      </c>
    </row>
    <row r="217" spans="1:5" ht="15.75" customHeight="1" x14ac:dyDescent="0.3">
      <c r="A217" s="28">
        <v>9</v>
      </c>
      <c r="B217" s="29">
        <v>6.81</v>
      </c>
      <c r="C217" s="31">
        <v>70.040000000000006</v>
      </c>
      <c r="D217" s="28" t="s">
        <v>9</v>
      </c>
      <c r="E217" s="34">
        <f t="shared" si="3"/>
        <v>1.765889984348024E-3</v>
      </c>
    </row>
    <row r="218" spans="1:5" ht="15.75" customHeight="1" x14ac:dyDescent="0.3">
      <c r="A218" s="28">
        <v>18</v>
      </c>
      <c r="B218" s="29">
        <v>4.0199999999999996</v>
      </c>
      <c r="C218" s="31">
        <v>70</v>
      </c>
      <c r="D218" s="28" t="s">
        <v>9</v>
      </c>
      <c r="E218" s="34">
        <f t="shared" si="3"/>
        <v>1.7648814806447981E-3</v>
      </c>
    </row>
    <row r="219" spans="1:5" ht="15.75" customHeight="1" x14ac:dyDescent="0.3">
      <c r="A219" s="28">
        <v>22</v>
      </c>
      <c r="B219" s="29">
        <v>7.66</v>
      </c>
      <c r="C219" s="31">
        <v>69.86</v>
      </c>
      <c r="D219" s="28" t="s">
        <v>9</v>
      </c>
      <c r="E219" s="34">
        <f t="shared" si="3"/>
        <v>1.7613517176835085E-3</v>
      </c>
    </row>
    <row r="220" spans="1:5" ht="15.75" customHeight="1" x14ac:dyDescent="0.3">
      <c r="A220" s="28">
        <v>26</v>
      </c>
      <c r="B220" s="29">
        <v>7.37</v>
      </c>
      <c r="C220" s="31">
        <v>69.61</v>
      </c>
      <c r="D220" s="28" t="s">
        <v>8</v>
      </c>
      <c r="E220" s="34">
        <f t="shared" si="3"/>
        <v>1.7550485695383485E-3</v>
      </c>
    </row>
    <row r="221" spans="1:5" ht="15.75" customHeight="1" x14ac:dyDescent="0.3">
      <c r="A221" s="28">
        <v>5</v>
      </c>
      <c r="B221" s="29">
        <v>7.66</v>
      </c>
      <c r="C221" s="31">
        <v>69.099999999999994</v>
      </c>
      <c r="D221" s="28" t="s">
        <v>9</v>
      </c>
      <c r="E221" s="34">
        <f t="shared" si="3"/>
        <v>1.7421901473222221E-3</v>
      </c>
    </row>
    <row r="222" spans="1:5" ht="15.75" customHeight="1" x14ac:dyDescent="0.3">
      <c r="A222" s="28">
        <v>51</v>
      </c>
      <c r="B222" s="29">
        <v>6.46</v>
      </c>
      <c r="C222" s="31">
        <v>69.069999999999993</v>
      </c>
      <c r="D222" s="28" t="s">
        <v>9</v>
      </c>
      <c r="E222" s="34">
        <f t="shared" si="3"/>
        <v>1.7414337695448028E-3</v>
      </c>
    </row>
    <row r="223" spans="1:5" ht="15.75" customHeight="1" x14ac:dyDescent="0.3">
      <c r="A223" s="28">
        <v>33</v>
      </c>
      <c r="B223" s="29">
        <v>8.4700000000000006</v>
      </c>
      <c r="C223" s="31">
        <v>69.06</v>
      </c>
      <c r="D223" s="28" t="s">
        <v>8</v>
      </c>
      <c r="E223" s="34">
        <f t="shared" si="3"/>
        <v>1.7411816436189967E-3</v>
      </c>
    </row>
    <row r="224" spans="1:5" ht="15.75" customHeight="1" x14ac:dyDescent="0.3">
      <c r="A224" s="28">
        <v>16</v>
      </c>
      <c r="B224" s="29">
        <v>9.15</v>
      </c>
      <c r="C224" s="31">
        <v>69.040000000000006</v>
      </c>
      <c r="D224" s="28" t="s">
        <v>8</v>
      </c>
      <c r="E224" s="34">
        <f t="shared" si="3"/>
        <v>1.7406773917673839E-3</v>
      </c>
    </row>
    <row r="225" spans="1:5" ht="15.75" customHeight="1" x14ac:dyDescent="0.3">
      <c r="A225" s="28">
        <v>26</v>
      </c>
      <c r="B225" s="29">
        <v>8.6300000000000008</v>
      </c>
      <c r="C225" s="31">
        <v>68.959999999999994</v>
      </c>
      <c r="D225" s="28" t="s">
        <v>8</v>
      </c>
      <c r="E225" s="34">
        <f t="shared" si="3"/>
        <v>1.7386603843609323E-3</v>
      </c>
    </row>
    <row r="226" spans="1:5" ht="15.75" customHeight="1" x14ac:dyDescent="0.3">
      <c r="A226" s="28">
        <v>12</v>
      </c>
      <c r="B226" s="29">
        <v>8.44</v>
      </c>
      <c r="C226" s="31">
        <v>68.91</v>
      </c>
      <c r="D226" s="28" t="s">
        <v>8</v>
      </c>
      <c r="E226" s="34">
        <f t="shared" si="3"/>
        <v>1.7373997547319006E-3</v>
      </c>
    </row>
    <row r="227" spans="1:5" ht="15.75" customHeight="1" x14ac:dyDescent="0.3">
      <c r="A227" s="28">
        <v>37</v>
      </c>
      <c r="B227" s="29">
        <v>8.8000000000000007</v>
      </c>
      <c r="C227" s="31">
        <v>68.760000000000005</v>
      </c>
      <c r="D227" s="28" t="s">
        <v>8</v>
      </c>
      <c r="E227" s="34">
        <f t="shared" si="3"/>
        <v>1.7336178658448047E-3</v>
      </c>
    </row>
    <row r="228" spans="1:5" ht="15.75" customHeight="1" x14ac:dyDescent="0.3">
      <c r="A228" s="28">
        <v>24</v>
      </c>
      <c r="B228" s="29">
        <v>8.6</v>
      </c>
      <c r="C228" s="31">
        <v>68.48</v>
      </c>
      <c r="D228" s="28" t="s">
        <v>8</v>
      </c>
      <c r="E228" s="34">
        <f t="shared" si="3"/>
        <v>1.7265583399222256E-3</v>
      </c>
    </row>
    <row r="229" spans="1:5" ht="15.75" customHeight="1" x14ac:dyDescent="0.3">
      <c r="A229" s="28">
        <v>24</v>
      </c>
      <c r="B229" s="29">
        <v>9.02</v>
      </c>
      <c r="C229" s="31">
        <v>68.38</v>
      </c>
      <c r="D229" s="28" t="s">
        <v>9</v>
      </c>
      <c r="E229" s="34">
        <f t="shared" si="3"/>
        <v>1.7240370806641612E-3</v>
      </c>
    </row>
    <row r="230" spans="1:5" ht="15.75" customHeight="1" x14ac:dyDescent="0.3">
      <c r="A230" s="28">
        <v>20</v>
      </c>
      <c r="B230" s="29">
        <v>9.0299999999999994</v>
      </c>
      <c r="C230" s="31">
        <v>68.260000000000005</v>
      </c>
      <c r="D230" s="28" t="s">
        <v>8</v>
      </c>
      <c r="E230" s="34">
        <f t="shared" si="3"/>
        <v>1.7210115695544847E-3</v>
      </c>
    </row>
    <row r="231" spans="1:5" ht="15.75" customHeight="1" x14ac:dyDescent="0.3">
      <c r="A231" s="28">
        <v>15</v>
      </c>
      <c r="B231" s="29">
        <v>5.59</v>
      </c>
      <c r="C231" s="31">
        <v>68.12</v>
      </c>
      <c r="D231" s="28" t="s">
        <v>9</v>
      </c>
      <c r="E231" s="34">
        <f t="shared" si="3"/>
        <v>1.7174818065931951E-3</v>
      </c>
    </row>
    <row r="232" spans="1:5" ht="15.75" customHeight="1" x14ac:dyDescent="0.3">
      <c r="A232" s="28">
        <v>22</v>
      </c>
      <c r="B232" s="29">
        <v>8.7200000000000006</v>
      </c>
      <c r="C232" s="31">
        <v>68.069999999999993</v>
      </c>
      <c r="D232" s="28" t="s">
        <v>8</v>
      </c>
      <c r="E232" s="34">
        <f t="shared" si="3"/>
        <v>1.7162211769641629E-3</v>
      </c>
    </row>
    <row r="233" spans="1:5" ht="15.75" customHeight="1" x14ac:dyDescent="0.3">
      <c r="A233" s="28">
        <v>12</v>
      </c>
      <c r="B233" s="29">
        <v>9.07</v>
      </c>
      <c r="C233" s="31">
        <v>68.02</v>
      </c>
      <c r="D233" s="28" t="s">
        <v>8</v>
      </c>
      <c r="E233" s="34">
        <f t="shared" si="3"/>
        <v>1.714960547335131E-3</v>
      </c>
    </row>
    <row r="234" spans="1:5" ht="15.75" customHeight="1" x14ac:dyDescent="0.3">
      <c r="A234" s="28">
        <v>13</v>
      </c>
      <c r="B234" s="29">
        <v>7.88</v>
      </c>
      <c r="C234" s="31">
        <v>67.95</v>
      </c>
      <c r="D234" s="28" t="s">
        <v>9</v>
      </c>
      <c r="E234" s="34">
        <f t="shared" si="3"/>
        <v>1.7131956658544864E-3</v>
      </c>
    </row>
    <row r="235" spans="1:5" ht="15.75" customHeight="1" x14ac:dyDescent="0.3">
      <c r="A235" s="28">
        <v>25</v>
      </c>
      <c r="B235" s="29">
        <v>4.78</v>
      </c>
      <c r="C235" s="31">
        <v>67.87</v>
      </c>
      <c r="D235" s="28" t="s">
        <v>9</v>
      </c>
      <c r="E235" s="34">
        <f t="shared" si="3"/>
        <v>1.7111786584480351E-3</v>
      </c>
    </row>
    <row r="236" spans="1:5" ht="15.75" customHeight="1" x14ac:dyDescent="0.3">
      <c r="A236" s="28">
        <v>42</v>
      </c>
      <c r="B236" s="29">
        <v>6.73</v>
      </c>
      <c r="C236" s="31">
        <v>67.739999999999995</v>
      </c>
      <c r="D236" s="28" t="s">
        <v>9</v>
      </c>
      <c r="E236" s="34">
        <f t="shared" si="3"/>
        <v>1.7079010214125518E-3</v>
      </c>
    </row>
    <row r="237" spans="1:5" ht="15.75" customHeight="1" x14ac:dyDescent="0.3">
      <c r="A237" s="28">
        <v>1</v>
      </c>
      <c r="B237" s="29">
        <v>9.06</v>
      </c>
      <c r="C237" s="31">
        <v>67.66</v>
      </c>
      <c r="D237" s="28" t="s">
        <v>9</v>
      </c>
      <c r="E237" s="34">
        <f t="shared" si="3"/>
        <v>1.7058840140061005E-3</v>
      </c>
    </row>
    <row r="238" spans="1:5" ht="15.75" customHeight="1" x14ac:dyDescent="0.3">
      <c r="A238" s="28">
        <v>40</v>
      </c>
      <c r="B238" s="29">
        <v>9.2100000000000009</v>
      </c>
      <c r="C238" s="31">
        <v>67.63</v>
      </c>
      <c r="D238" s="28" t="s">
        <v>9</v>
      </c>
      <c r="E238" s="34">
        <f t="shared" si="3"/>
        <v>1.7051276362286814E-3</v>
      </c>
    </row>
    <row r="239" spans="1:5" ht="15.75" customHeight="1" x14ac:dyDescent="0.3">
      <c r="A239" s="28">
        <v>47</v>
      </c>
      <c r="B239" s="29">
        <v>6.36</v>
      </c>
      <c r="C239" s="31">
        <v>67.44</v>
      </c>
      <c r="D239" s="28" t="s">
        <v>8</v>
      </c>
      <c r="E239" s="34">
        <f t="shared" si="3"/>
        <v>1.7003372436383598E-3</v>
      </c>
    </row>
    <row r="240" spans="1:5" ht="15.75" customHeight="1" x14ac:dyDescent="0.3">
      <c r="A240" s="28">
        <v>3</v>
      </c>
      <c r="B240" s="29">
        <v>7.71</v>
      </c>
      <c r="C240" s="31">
        <v>67.36</v>
      </c>
      <c r="D240" s="28" t="s">
        <v>8</v>
      </c>
      <c r="E240" s="34">
        <f t="shared" si="3"/>
        <v>1.6983202362319087E-3</v>
      </c>
    </row>
    <row r="241" spans="1:5" ht="15.75" customHeight="1" x14ac:dyDescent="0.3">
      <c r="A241" s="28">
        <v>41</v>
      </c>
      <c r="B241" s="29">
        <v>8.68</v>
      </c>
      <c r="C241" s="31">
        <v>67.36</v>
      </c>
      <c r="D241" s="28" t="s">
        <v>8</v>
      </c>
      <c r="E241" s="34">
        <f t="shared" si="3"/>
        <v>1.6983202362319087E-3</v>
      </c>
    </row>
    <row r="242" spans="1:5" ht="15.75" customHeight="1" x14ac:dyDescent="0.3">
      <c r="A242" s="28">
        <v>57</v>
      </c>
      <c r="B242" s="29">
        <v>13</v>
      </c>
      <c r="C242" s="31">
        <v>67.31</v>
      </c>
      <c r="D242" s="28" t="s">
        <v>9</v>
      </c>
      <c r="E242" s="34">
        <f t="shared" si="3"/>
        <v>1.6970596066028768E-3</v>
      </c>
    </row>
    <row r="243" spans="1:5" ht="15.75" customHeight="1" x14ac:dyDescent="0.3">
      <c r="A243" s="28">
        <v>6</v>
      </c>
      <c r="B243" s="29">
        <v>1.8</v>
      </c>
      <c r="C243" s="31">
        <v>67.260000000000005</v>
      </c>
      <c r="D243" s="28" t="s">
        <v>9</v>
      </c>
      <c r="E243" s="34">
        <f t="shared" si="3"/>
        <v>1.6957989769738448E-3</v>
      </c>
    </row>
    <row r="244" spans="1:5" ht="15.75" customHeight="1" x14ac:dyDescent="0.3">
      <c r="A244" s="28">
        <v>17</v>
      </c>
      <c r="B244" s="29">
        <v>6.05</v>
      </c>
      <c r="C244" s="31">
        <v>67.25</v>
      </c>
      <c r="D244" s="28" t="s">
        <v>9</v>
      </c>
      <c r="E244" s="34">
        <f t="shared" si="3"/>
        <v>1.6955468510480383E-3</v>
      </c>
    </row>
    <row r="245" spans="1:5" ht="15.75" customHeight="1" x14ac:dyDescent="0.3">
      <c r="A245" s="28">
        <v>22</v>
      </c>
      <c r="B245" s="29">
        <v>5.79</v>
      </c>
      <c r="C245" s="31">
        <v>67.23</v>
      </c>
      <c r="D245" s="28" t="s">
        <v>9</v>
      </c>
      <c r="E245" s="34">
        <f t="shared" si="3"/>
        <v>1.6950425991964255E-3</v>
      </c>
    </row>
    <row r="246" spans="1:5" ht="15.75" customHeight="1" x14ac:dyDescent="0.3">
      <c r="A246" s="28">
        <v>41</v>
      </c>
      <c r="B246" s="29">
        <v>11.1</v>
      </c>
      <c r="C246" s="31">
        <v>67.2</v>
      </c>
      <c r="D246" s="28" t="s">
        <v>9</v>
      </c>
      <c r="E246" s="34">
        <f t="shared" si="3"/>
        <v>1.6942862214190063E-3</v>
      </c>
    </row>
    <row r="247" spans="1:5" ht="15.75" customHeight="1" x14ac:dyDescent="0.3">
      <c r="A247" s="28">
        <v>35</v>
      </c>
      <c r="B247" s="29">
        <v>9.07</v>
      </c>
      <c r="C247" s="31">
        <v>67.150000000000006</v>
      </c>
      <c r="D247" s="28" t="s">
        <v>8</v>
      </c>
      <c r="E247" s="34">
        <f t="shared" si="3"/>
        <v>1.6930255917899744E-3</v>
      </c>
    </row>
    <row r="248" spans="1:5" ht="15.75" customHeight="1" x14ac:dyDescent="0.3">
      <c r="A248" s="28">
        <v>35</v>
      </c>
      <c r="B248" s="29">
        <v>9.56</v>
      </c>
      <c r="C248" s="31">
        <v>67.12</v>
      </c>
      <c r="D248" s="28" t="s">
        <v>9</v>
      </c>
      <c r="E248" s="34">
        <f t="shared" si="3"/>
        <v>1.6922692140125552E-3</v>
      </c>
    </row>
    <row r="249" spans="1:5" ht="15.75" customHeight="1" x14ac:dyDescent="0.3">
      <c r="A249" s="28">
        <v>54</v>
      </c>
      <c r="B249" s="29">
        <v>9.6199999999999992</v>
      </c>
      <c r="C249" s="31">
        <v>67.069999999999993</v>
      </c>
      <c r="D249" s="28" t="s">
        <v>9</v>
      </c>
      <c r="E249" s="34">
        <f t="shared" si="3"/>
        <v>1.6910085843835228E-3</v>
      </c>
    </row>
    <row r="250" spans="1:5" ht="15.75" customHeight="1" x14ac:dyDescent="0.3">
      <c r="A250" s="28">
        <v>56</v>
      </c>
      <c r="B250" s="29">
        <v>6.51</v>
      </c>
      <c r="C250" s="31">
        <v>67.02</v>
      </c>
      <c r="D250" s="28" t="s">
        <v>9</v>
      </c>
      <c r="E250" s="34">
        <f t="shared" si="3"/>
        <v>1.6897479547544909E-3</v>
      </c>
    </row>
    <row r="251" spans="1:5" ht="15.75" customHeight="1" x14ac:dyDescent="0.3">
      <c r="A251" s="28">
        <v>37</v>
      </c>
      <c r="B251" s="29">
        <v>6.64</v>
      </c>
      <c r="C251" s="31">
        <v>66.959999999999994</v>
      </c>
      <c r="D251" s="28" t="s">
        <v>9</v>
      </c>
      <c r="E251" s="34">
        <f t="shared" si="3"/>
        <v>1.6882351991996524E-3</v>
      </c>
    </row>
    <row r="252" spans="1:5" ht="15.75" customHeight="1" x14ac:dyDescent="0.3">
      <c r="A252" s="28">
        <v>7</v>
      </c>
      <c r="B252" s="29">
        <v>5.36</v>
      </c>
      <c r="C252" s="31">
        <v>66.86</v>
      </c>
      <c r="D252" s="28" t="s">
        <v>8</v>
      </c>
      <c r="E252" s="34">
        <f t="shared" si="3"/>
        <v>1.6857139399415887E-3</v>
      </c>
    </row>
    <row r="253" spans="1:5" ht="15.75" customHeight="1" x14ac:dyDescent="0.3">
      <c r="A253" s="28">
        <v>2</v>
      </c>
      <c r="B253" s="29">
        <v>6.03</v>
      </c>
      <c r="C253" s="31">
        <v>66.72</v>
      </c>
      <c r="D253" s="28" t="s">
        <v>9</v>
      </c>
      <c r="E253" s="34">
        <f t="shared" si="3"/>
        <v>1.6821841769802991E-3</v>
      </c>
    </row>
    <row r="254" spans="1:5" ht="15.75" customHeight="1" x14ac:dyDescent="0.3">
      <c r="A254" s="28">
        <v>27</v>
      </c>
      <c r="B254" s="29">
        <v>9.25</v>
      </c>
      <c r="C254" s="31">
        <v>66.709999999999994</v>
      </c>
      <c r="D254" s="28" t="s">
        <v>8</v>
      </c>
      <c r="E254" s="34">
        <f t="shared" si="3"/>
        <v>1.6819320510544926E-3</v>
      </c>
    </row>
    <row r="255" spans="1:5" ht="15.75" customHeight="1" x14ac:dyDescent="0.3">
      <c r="A255" s="28">
        <v>5</v>
      </c>
      <c r="B255" s="29">
        <v>8.52</v>
      </c>
      <c r="C255" s="31">
        <v>66.650000000000006</v>
      </c>
      <c r="D255" s="28" t="s">
        <v>9</v>
      </c>
      <c r="E255" s="34">
        <f t="shared" si="3"/>
        <v>1.6804192954996543E-3</v>
      </c>
    </row>
    <row r="256" spans="1:5" ht="15.75" customHeight="1" x14ac:dyDescent="0.3">
      <c r="A256" s="28">
        <v>40</v>
      </c>
      <c r="B256" s="29">
        <v>8.6999999999999993</v>
      </c>
      <c r="C256" s="31">
        <v>66.56</v>
      </c>
      <c r="D256" s="28" t="s">
        <v>9</v>
      </c>
      <c r="E256" s="34">
        <f t="shared" si="3"/>
        <v>1.6781501621673967E-3</v>
      </c>
    </row>
    <row r="257" spans="1:5" ht="15.75" customHeight="1" x14ac:dyDescent="0.3">
      <c r="A257" s="28">
        <v>49</v>
      </c>
      <c r="B257" s="29">
        <v>6.69</v>
      </c>
      <c r="C257" s="31">
        <v>66.430000000000007</v>
      </c>
      <c r="D257" s="28" t="s">
        <v>9</v>
      </c>
      <c r="E257" s="34">
        <f t="shared" si="3"/>
        <v>1.6748725251319136E-3</v>
      </c>
    </row>
    <row r="258" spans="1:5" ht="15.75" customHeight="1" x14ac:dyDescent="0.3">
      <c r="A258" s="28">
        <v>25</v>
      </c>
      <c r="B258" s="29">
        <v>7.98</v>
      </c>
      <c r="C258" s="31">
        <v>66.28</v>
      </c>
      <c r="D258" s="28" t="s">
        <v>8</v>
      </c>
      <c r="E258" s="34">
        <f t="shared" si="3"/>
        <v>1.6710906362448175E-3</v>
      </c>
    </row>
    <row r="259" spans="1:5" ht="15.75" customHeight="1" x14ac:dyDescent="0.3">
      <c r="A259" s="28">
        <v>14</v>
      </c>
      <c r="B259" s="29">
        <v>7.73</v>
      </c>
      <c r="C259" s="31">
        <v>66.22</v>
      </c>
      <c r="D259" s="28" t="s">
        <v>9</v>
      </c>
      <c r="E259" s="34">
        <f t="shared" si="3"/>
        <v>1.6695778806899791E-3</v>
      </c>
    </row>
    <row r="260" spans="1:5" ht="15.75" customHeight="1" x14ac:dyDescent="0.3">
      <c r="A260" s="28">
        <v>7</v>
      </c>
      <c r="B260" s="29">
        <v>7.91</v>
      </c>
      <c r="C260" s="31">
        <v>66.209999999999994</v>
      </c>
      <c r="D260" s="28" t="s">
        <v>8</v>
      </c>
      <c r="E260" s="34">
        <f t="shared" si="3"/>
        <v>1.6693257547641725E-3</v>
      </c>
    </row>
    <row r="261" spans="1:5" ht="15.75" customHeight="1" x14ac:dyDescent="0.3">
      <c r="A261" s="28">
        <v>43</v>
      </c>
      <c r="B261" s="29">
        <v>8.85</v>
      </c>
      <c r="C261" s="31">
        <v>66.16</v>
      </c>
      <c r="D261" s="28" t="s">
        <v>9</v>
      </c>
      <c r="E261" s="34">
        <f t="shared" si="3"/>
        <v>1.6680651251351406E-3</v>
      </c>
    </row>
    <row r="262" spans="1:5" ht="15.75" customHeight="1" x14ac:dyDescent="0.3">
      <c r="A262" s="28">
        <v>19</v>
      </c>
      <c r="B262" s="29">
        <v>7.3</v>
      </c>
      <c r="C262" s="31">
        <v>66.13</v>
      </c>
      <c r="D262" s="28" t="s">
        <v>9</v>
      </c>
      <c r="E262" s="34">
        <f t="shared" si="3"/>
        <v>1.6673087473577214E-3</v>
      </c>
    </row>
    <row r="263" spans="1:5" ht="15.75" customHeight="1" x14ac:dyDescent="0.3">
      <c r="A263" s="28">
        <v>24</v>
      </c>
      <c r="B263" s="29">
        <v>7.9</v>
      </c>
      <c r="C263" s="31">
        <v>65.95</v>
      </c>
      <c r="D263" s="28" t="s">
        <v>8</v>
      </c>
      <c r="E263" s="34">
        <f t="shared" ref="E263:E326" si="4">C263/C$667</f>
        <v>1.6627704806932064E-3</v>
      </c>
    </row>
    <row r="264" spans="1:5" ht="15.75" customHeight="1" x14ac:dyDescent="0.3">
      <c r="A264" s="28">
        <v>34</v>
      </c>
      <c r="B264" s="29">
        <v>8.64</v>
      </c>
      <c r="C264" s="31">
        <v>65.87</v>
      </c>
      <c r="D264" s="28" t="s">
        <v>8</v>
      </c>
      <c r="E264" s="34">
        <f t="shared" si="4"/>
        <v>1.6607534732867551E-3</v>
      </c>
    </row>
    <row r="265" spans="1:5" ht="15.75" customHeight="1" x14ac:dyDescent="0.3">
      <c r="A265" s="28">
        <v>22</v>
      </c>
      <c r="B265" s="29">
        <v>8.1</v>
      </c>
      <c r="C265" s="31">
        <v>65.84</v>
      </c>
      <c r="D265" s="28" t="s">
        <v>9</v>
      </c>
      <c r="E265" s="34">
        <f t="shared" si="4"/>
        <v>1.659997095509336E-3</v>
      </c>
    </row>
    <row r="266" spans="1:5" ht="15.75" customHeight="1" x14ac:dyDescent="0.3">
      <c r="A266" s="28">
        <v>27</v>
      </c>
      <c r="B266" s="29">
        <v>6.96</v>
      </c>
      <c r="C266" s="31">
        <v>65.400000000000006</v>
      </c>
      <c r="D266" s="28" t="s">
        <v>8</v>
      </c>
      <c r="E266" s="34">
        <f t="shared" si="4"/>
        <v>1.6489035547738544E-3</v>
      </c>
    </row>
    <row r="267" spans="1:5" ht="15.75" customHeight="1" x14ac:dyDescent="0.3">
      <c r="A267" s="28">
        <v>15</v>
      </c>
      <c r="B267" s="29">
        <v>4.62</v>
      </c>
      <c r="C267" s="31">
        <v>65.36</v>
      </c>
      <c r="D267" s="28" t="s">
        <v>9</v>
      </c>
      <c r="E267" s="34">
        <f t="shared" si="4"/>
        <v>1.6478950510706288E-3</v>
      </c>
    </row>
    <row r="268" spans="1:5" ht="15.75" customHeight="1" x14ac:dyDescent="0.3">
      <c r="A268" s="28">
        <v>26</v>
      </c>
      <c r="B268" s="29">
        <v>6.21</v>
      </c>
      <c r="C268" s="31">
        <v>65.28</v>
      </c>
      <c r="D268" s="28" t="s">
        <v>8</v>
      </c>
      <c r="E268" s="34">
        <f t="shared" si="4"/>
        <v>1.6458780436641774E-3</v>
      </c>
    </row>
    <row r="269" spans="1:5" ht="15.75" customHeight="1" x14ac:dyDescent="0.3">
      <c r="A269" s="28">
        <v>7</v>
      </c>
      <c r="B269" s="29">
        <v>8.17</v>
      </c>
      <c r="C269" s="31">
        <v>65.260000000000005</v>
      </c>
      <c r="D269" s="28" t="s">
        <v>9</v>
      </c>
      <c r="E269" s="34">
        <f t="shared" si="4"/>
        <v>1.6453737918125648E-3</v>
      </c>
    </row>
    <row r="270" spans="1:5" ht="15.75" customHeight="1" x14ac:dyDescent="0.3">
      <c r="A270" s="28">
        <v>48</v>
      </c>
      <c r="B270" s="29">
        <v>6.09</v>
      </c>
      <c r="C270" s="31">
        <v>65.209999999999994</v>
      </c>
      <c r="D270" s="28" t="s">
        <v>8</v>
      </c>
      <c r="E270" s="34">
        <f t="shared" si="4"/>
        <v>1.6441131621835324E-3</v>
      </c>
    </row>
    <row r="271" spans="1:5" ht="15.75" customHeight="1" x14ac:dyDescent="0.3">
      <c r="A271" s="28">
        <v>43</v>
      </c>
      <c r="B271" s="29">
        <v>9.18</v>
      </c>
      <c r="C271" s="31">
        <v>65.19</v>
      </c>
      <c r="D271" s="28" t="s">
        <v>9</v>
      </c>
      <c r="E271" s="34">
        <f t="shared" si="4"/>
        <v>1.6436089103319198E-3</v>
      </c>
    </row>
    <row r="272" spans="1:5" ht="15.75" customHeight="1" x14ac:dyDescent="0.3">
      <c r="A272" s="28">
        <v>34</v>
      </c>
      <c r="B272" s="29">
        <v>4.93</v>
      </c>
      <c r="C272" s="31">
        <v>65.16</v>
      </c>
      <c r="D272" s="28" t="s">
        <v>8</v>
      </c>
      <c r="E272" s="34">
        <f t="shared" si="4"/>
        <v>1.6428525325545007E-3</v>
      </c>
    </row>
    <row r="273" spans="1:5" ht="15.75" customHeight="1" x14ac:dyDescent="0.3">
      <c r="A273" s="28">
        <v>24</v>
      </c>
      <c r="B273" s="29">
        <v>5.65</v>
      </c>
      <c r="C273" s="31">
        <v>65.02</v>
      </c>
      <c r="D273" s="28" t="s">
        <v>9</v>
      </c>
      <c r="E273" s="34">
        <f t="shared" si="4"/>
        <v>1.6393227695932109E-3</v>
      </c>
    </row>
    <row r="274" spans="1:5" ht="15.75" customHeight="1" x14ac:dyDescent="0.3">
      <c r="A274" s="28">
        <v>16</v>
      </c>
      <c r="B274" s="29">
        <v>9.99</v>
      </c>
      <c r="C274" s="31">
        <v>64.83</v>
      </c>
      <c r="D274" s="28" t="s">
        <v>9</v>
      </c>
      <c r="E274" s="34">
        <f t="shared" si="4"/>
        <v>1.6345323770028894E-3</v>
      </c>
    </row>
    <row r="275" spans="1:5" ht="15.75" customHeight="1" x14ac:dyDescent="0.3">
      <c r="A275" s="28">
        <v>21</v>
      </c>
      <c r="B275" s="29">
        <v>7.27</v>
      </c>
      <c r="C275" s="31">
        <v>64.69</v>
      </c>
      <c r="D275" s="28" t="s">
        <v>9</v>
      </c>
      <c r="E275" s="34">
        <f t="shared" si="4"/>
        <v>1.6310026140415998E-3</v>
      </c>
    </row>
    <row r="276" spans="1:5" ht="15.75" customHeight="1" x14ac:dyDescent="0.3">
      <c r="A276" s="28">
        <v>47</v>
      </c>
      <c r="B276" s="29">
        <v>4.5</v>
      </c>
      <c r="C276" s="31">
        <v>64.67</v>
      </c>
      <c r="D276" s="28" t="s">
        <v>9</v>
      </c>
      <c r="E276" s="34">
        <f t="shared" si="4"/>
        <v>1.6304983621899872E-3</v>
      </c>
    </row>
    <row r="277" spans="1:5" ht="15.75" customHeight="1" x14ac:dyDescent="0.3">
      <c r="A277" s="28">
        <v>19</v>
      </c>
      <c r="B277" s="29">
        <v>6.57</v>
      </c>
      <c r="C277" s="31">
        <v>64.61</v>
      </c>
      <c r="D277" s="28" t="s">
        <v>8</v>
      </c>
      <c r="E277" s="34">
        <f t="shared" si="4"/>
        <v>1.6289856066351487E-3</v>
      </c>
    </row>
    <row r="278" spans="1:5" ht="15.75" customHeight="1" x14ac:dyDescent="0.3">
      <c r="A278" s="28">
        <v>1</v>
      </c>
      <c r="B278" s="29">
        <v>6.81</v>
      </c>
      <c r="C278" s="31">
        <v>64.599999999999994</v>
      </c>
      <c r="D278" s="28" t="s">
        <v>8</v>
      </c>
      <c r="E278" s="34">
        <f t="shared" si="4"/>
        <v>1.6287334807093422E-3</v>
      </c>
    </row>
    <row r="279" spans="1:5" ht="15.75" customHeight="1" x14ac:dyDescent="0.3">
      <c r="A279" s="28">
        <v>30</v>
      </c>
      <c r="B279" s="29">
        <v>6.72</v>
      </c>
      <c r="C279" s="31">
        <v>64.55</v>
      </c>
      <c r="D279" s="28" t="s">
        <v>8</v>
      </c>
      <c r="E279" s="34">
        <f t="shared" si="4"/>
        <v>1.6274728510803102E-3</v>
      </c>
    </row>
    <row r="280" spans="1:5" ht="15.75" customHeight="1" x14ac:dyDescent="0.3">
      <c r="A280" s="28">
        <v>10</v>
      </c>
      <c r="B280" s="29">
        <v>11.6</v>
      </c>
      <c r="C280" s="31">
        <v>64.5</v>
      </c>
      <c r="D280" s="28" t="s">
        <v>9</v>
      </c>
      <c r="E280" s="34">
        <f t="shared" si="4"/>
        <v>1.6262122214512782E-3</v>
      </c>
    </row>
    <row r="281" spans="1:5" ht="15.75" customHeight="1" x14ac:dyDescent="0.3">
      <c r="A281" s="28">
        <v>30</v>
      </c>
      <c r="B281" s="29">
        <v>8.44</v>
      </c>
      <c r="C281" s="31">
        <v>64.36</v>
      </c>
      <c r="D281" s="28" t="s">
        <v>9</v>
      </c>
      <c r="E281" s="34">
        <f t="shared" si="4"/>
        <v>1.6226824584899887E-3</v>
      </c>
    </row>
    <row r="282" spans="1:5" ht="15.75" customHeight="1" x14ac:dyDescent="0.3">
      <c r="A282" s="28">
        <v>20</v>
      </c>
      <c r="B282" s="29">
        <v>8.31</v>
      </c>
      <c r="C282" s="31">
        <v>64.02</v>
      </c>
      <c r="D282" s="28" t="s">
        <v>8</v>
      </c>
      <c r="E282" s="34">
        <f t="shared" si="4"/>
        <v>1.614110177012571E-3</v>
      </c>
    </row>
    <row r="283" spans="1:5" ht="15.75" customHeight="1" x14ac:dyDescent="0.3">
      <c r="A283" s="28">
        <v>20</v>
      </c>
      <c r="B283" s="29">
        <v>7.84</v>
      </c>
      <c r="C283" s="31">
        <v>63.91</v>
      </c>
      <c r="D283" s="28" t="s">
        <v>9</v>
      </c>
      <c r="E283" s="34">
        <f t="shared" si="4"/>
        <v>1.6113367918287006E-3</v>
      </c>
    </row>
    <row r="284" spans="1:5" ht="15.75" customHeight="1" x14ac:dyDescent="0.3">
      <c r="A284" s="28">
        <v>6</v>
      </c>
      <c r="B284" s="29">
        <v>7.52</v>
      </c>
      <c r="C284" s="31">
        <v>63.74</v>
      </c>
      <c r="D284" s="28" t="s">
        <v>8</v>
      </c>
      <c r="E284" s="34">
        <f t="shared" si="4"/>
        <v>1.6070506510899921E-3</v>
      </c>
    </row>
    <row r="285" spans="1:5" ht="15.75" customHeight="1" x14ac:dyDescent="0.3">
      <c r="A285" s="28">
        <v>43</v>
      </c>
      <c r="B285" s="29">
        <v>9.27</v>
      </c>
      <c r="C285" s="31">
        <v>63.57</v>
      </c>
      <c r="D285" s="28" t="s">
        <v>8</v>
      </c>
      <c r="E285" s="34">
        <f t="shared" si="4"/>
        <v>1.6027645103512832E-3</v>
      </c>
    </row>
    <row r="286" spans="1:5" ht="15.75" customHeight="1" x14ac:dyDescent="0.3">
      <c r="A286" s="28">
        <v>16</v>
      </c>
      <c r="B286" s="29">
        <v>6.49</v>
      </c>
      <c r="C286" s="31">
        <v>63.52</v>
      </c>
      <c r="D286" s="28" t="s">
        <v>9</v>
      </c>
      <c r="E286" s="34">
        <f t="shared" si="4"/>
        <v>1.6015038807222512E-3</v>
      </c>
    </row>
    <row r="287" spans="1:5" ht="15.75" customHeight="1" x14ac:dyDescent="0.3">
      <c r="A287" s="28">
        <v>31</v>
      </c>
      <c r="B287" s="29">
        <v>6.38</v>
      </c>
      <c r="C287" s="31">
        <v>63.51</v>
      </c>
      <c r="D287" s="28" t="s">
        <v>8</v>
      </c>
      <c r="E287" s="34">
        <f t="shared" si="4"/>
        <v>1.6012517547964447E-3</v>
      </c>
    </row>
    <row r="288" spans="1:5" ht="15.75" customHeight="1" x14ac:dyDescent="0.3">
      <c r="A288" s="28">
        <v>40</v>
      </c>
      <c r="B288" s="29">
        <v>6.96</v>
      </c>
      <c r="C288" s="31">
        <v>63.5</v>
      </c>
      <c r="D288" s="28" t="s">
        <v>8</v>
      </c>
      <c r="E288" s="34">
        <f t="shared" si="4"/>
        <v>1.6009996288706384E-3</v>
      </c>
    </row>
    <row r="289" spans="1:5" ht="15.75" customHeight="1" x14ac:dyDescent="0.3">
      <c r="A289" s="28">
        <v>4</v>
      </c>
      <c r="B289" s="29">
        <v>5.12</v>
      </c>
      <c r="C289" s="31">
        <v>63.38</v>
      </c>
      <c r="D289" s="28" t="s">
        <v>8</v>
      </c>
      <c r="E289" s="34">
        <f t="shared" si="4"/>
        <v>1.5979741177609616E-3</v>
      </c>
    </row>
    <row r="290" spans="1:5" ht="15.75" customHeight="1" x14ac:dyDescent="0.3">
      <c r="A290" s="28">
        <v>31</v>
      </c>
      <c r="B290" s="29">
        <v>7.3</v>
      </c>
      <c r="C290" s="31">
        <v>63.35</v>
      </c>
      <c r="D290" s="28" t="s">
        <v>9</v>
      </c>
      <c r="E290" s="34">
        <f t="shared" si="4"/>
        <v>1.5972177399835423E-3</v>
      </c>
    </row>
    <row r="291" spans="1:5" ht="15.75" customHeight="1" x14ac:dyDescent="0.3">
      <c r="A291" s="28">
        <v>8</v>
      </c>
      <c r="B291" s="29">
        <v>9.66</v>
      </c>
      <c r="C291" s="31">
        <v>63.34</v>
      </c>
      <c r="D291" s="28" t="s">
        <v>9</v>
      </c>
      <c r="E291" s="34">
        <f t="shared" si="4"/>
        <v>1.596965614057736E-3</v>
      </c>
    </row>
    <row r="292" spans="1:5" ht="15.75" customHeight="1" x14ac:dyDescent="0.3">
      <c r="A292" s="28">
        <v>33</v>
      </c>
      <c r="B292" s="29">
        <v>11</v>
      </c>
      <c r="C292" s="31">
        <v>63.32</v>
      </c>
      <c r="D292" s="28" t="s">
        <v>9</v>
      </c>
      <c r="E292" s="34">
        <f t="shared" si="4"/>
        <v>1.5964613622061231E-3</v>
      </c>
    </row>
    <row r="293" spans="1:5" ht="15.75" customHeight="1" x14ac:dyDescent="0.3">
      <c r="A293" s="28">
        <v>24</v>
      </c>
      <c r="B293" s="29">
        <v>5.61</v>
      </c>
      <c r="C293" s="31">
        <v>63.19</v>
      </c>
      <c r="D293" s="28" t="s">
        <v>9</v>
      </c>
      <c r="E293" s="34">
        <f t="shared" si="4"/>
        <v>1.5931837251706399E-3</v>
      </c>
    </row>
    <row r="294" spans="1:5" ht="15.75" customHeight="1" x14ac:dyDescent="0.3">
      <c r="A294" s="28">
        <v>20</v>
      </c>
      <c r="B294" s="29">
        <v>5.88</v>
      </c>
      <c r="C294" s="31">
        <v>63.1</v>
      </c>
      <c r="D294" s="28" t="s">
        <v>9</v>
      </c>
      <c r="E294" s="34">
        <f t="shared" si="4"/>
        <v>1.5909145918383825E-3</v>
      </c>
    </row>
    <row r="295" spans="1:5" ht="15.75" customHeight="1" x14ac:dyDescent="0.3">
      <c r="A295" s="28">
        <v>26</v>
      </c>
      <c r="B295" s="29">
        <v>8.14</v>
      </c>
      <c r="C295" s="31">
        <v>63.07</v>
      </c>
      <c r="D295" s="28" t="s">
        <v>8</v>
      </c>
      <c r="E295" s="34">
        <f t="shared" si="4"/>
        <v>1.5901582140609631E-3</v>
      </c>
    </row>
    <row r="296" spans="1:5" ht="15.75" customHeight="1" x14ac:dyDescent="0.3">
      <c r="A296" s="28">
        <v>16</v>
      </c>
      <c r="B296" s="29">
        <v>2.8</v>
      </c>
      <c r="C296" s="31">
        <v>63</v>
      </c>
      <c r="D296" s="28" t="s">
        <v>9</v>
      </c>
      <c r="E296" s="34">
        <f t="shared" si="4"/>
        <v>1.5883933325803183E-3</v>
      </c>
    </row>
    <row r="297" spans="1:5" ht="15.75" customHeight="1" x14ac:dyDescent="0.3">
      <c r="A297" s="28">
        <v>21</v>
      </c>
      <c r="B297" s="29">
        <v>6.65</v>
      </c>
      <c r="C297" s="31">
        <v>62.98</v>
      </c>
      <c r="D297" s="28" t="s">
        <v>9</v>
      </c>
      <c r="E297" s="34">
        <f t="shared" si="4"/>
        <v>1.5878890807287055E-3</v>
      </c>
    </row>
    <row r="298" spans="1:5" ht="15.75" customHeight="1" x14ac:dyDescent="0.3">
      <c r="A298" s="28">
        <v>10</v>
      </c>
      <c r="B298" s="29">
        <v>7.27</v>
      </c>
      <c r="C298" s="31">
        <v>62.96</v>
      </c>
      <c r="D298" s="28" t="s">
        <v>9</v>
      </c>
      <c r="E298" s="34">
        <f t="shared" si="4"/>
        <v>1.5873848288770927E-3</v>
      </c>
    </row>
    <row r="299" spans="1:5" ht="15.75" customHeight="1" x14ac:dyDescent="0.3">
      <c r="A299" s="28">
        <v>5</v>
      </c>
      <c r="B299" s="29">
        <v>7.28</v>
      </c>
      <c r="C299" s="31">
        <v>62.93</v>
      </c>
      <c r="D299" s="28" t="s">
        <v>8</v>
      </c>
      <c r="E299" s="34">
        <f t="shared" si="4"/>
        <v>1.5866284510996735E-3</v>
      </c>
    </row>
    <row r="300" spans="1:5" ht="15.75" customHeight="1" x14ac:dyDescent="0.3">
      <c r="A300" s="28">
        <v>6</v>
      </c>
      <c r="B300" s="29">
        <v>4.78</v>
      </c>
      <c r="C300" s="31">
        <v>62.92</v>
      </c>
      <c r="D300" s="28" t="s">
        <v>8</v>
      </c>
      <c r="E300" s="34">
        <f t="shared" si="4"/>
        <v>1.5863763251738672E-3</v>
      </c>
    </row>
    <row r="301" spans="1:5" ht="15.75" customHeight="1" x14ac:dyDescent="0.3">
      <c r="A301" s="28">
        <v>51</v>
      </c>
      <c r="B301" s="29">
        <v>7.45</v>
      </c>
      <c r="C301" s="31">
        <v>62.85</v>
      </c>
      <c r="D301" s="28" t="s">
        <v>9</v>
      </c>
      <c r="E301" s="34">
        <f t="shared" si="4"/>
        <v>1.5846114436932224E-3</v>
      </c>
    </row>
    <row r="302" spans="1:5" ht="15.75" customHeight="1" x14ac:dyDescent="0.3">
      <c r="A302" s="28">
        <v>24</v>
      </c>
      <c r="B302" s="29">
        <v>9.91</v>
      </c>
      <c r="C302" s="31">
        <v>62.71</v>
      </c>
      <c r="D302" s="28" t="s">
        <v>8</v>
      </c>
      <c r="E302" s="34">
        <f t="shared" si="4"/>
        <v>1.5810816807319329E-3</v>
      </c>
    </row>
    <row r="303" spans="1:5" ht="15.75" customHeight="1" x14ac:dyDescent="0.3">
      <c r="A303" s="28">
        <v>25</v>
      </c>
      <c r="B303" s="29">
        <v>4.88</v>
      </c>
      <c r="C303" s="31">
        <v>62.64</v>
      </c>
      <c r="D303" s="28" t="s">
        <v>9</v>
      </c>
      <c r="E303" s="34">
        <f t="shared" si="4"/>
        <v>1.5793167992512881E-3</v>
      </c>
    </row>
    <row r="304" spans="1:5" ht="15.75" customHeight="1" x14ac:dyDescent="0.3">
      <c r="A304" s="28">
        <v>24</v>
      </c>
      <c r="B304" s="29">
        <v>6.85</v>
      </c>
      <c r="C304" s="31">
        <v>62.56</v>
      </c>
      <c r="D304" s="28" t="s">
        <v>9</v>
      </c>
      <c r="E304" s="34">
        <f t="shared" si="4"/>
        <v>1.5772997918448368E-3</v>
      </c>
    </row>
    <row r="305" spans="1:5" ht="15.75" customHeight="1" x14ac:dyDescent="0.3">
      <c r="A305" s="28">
        <v>39</v>
      </c>
      <c r="B305" s="29">
        <v>8.02</v>
      </c>
      <c r="C305" s="31">
        <v>62.53</v>
      </c>
      <c r="D305" s="28" t="s">
        <v>8</v>
      </c>
      <c r="E305" s="34">
        <f t="shared" si="4"/>
        <v>1.5765434140674176E-3</v>
      </c>
    </row>
    <row r="306" spans="1:5" ht="15.75" customHeight="1" x14ac:dyDescent="0.3">
      <c r="A306" s="28">
        <v>36</v>
      </c>
      <c r="B306" s="29">
        <v>8.49</v>
      </c>
      <c r="C306" s="31">
        <v>62.51</v>
      </c>
      <c r="D306" s="28" t="s">
        <v>8</v>
      </c>
      <c r="E306" s="34">
        <f t="shared" si="4"/>
        <v>1.5760391622158048E-3</v>
      </c>
    </row>
    <row r="307" spans="1:5" ht="15.75" customHeight="1" x14ac:dyDescent="0.3">
      <c r="A307" s="28">
        <v>32</v>
      </c>
      <c r="B307" s="29">
        <v>8</v>
      </c>
      <c r="C307" s="31">
        <v>62.46</v>
      </c>
      <c r="D307" s="28" t="s">
        <v>9</v>
      </c>
      <c r="E307" s="34">
        <f t="shared" si="4"/>
        <v>1.5747785325867728E-3</v>
      </c>
    </row>
    <row r="308" spans="1:5" ht="15.75" customHeight="1" x14ac:dyDescent="0.3">
      <c r="A308" s="28">
        <v>47</v>
      </c>
      <c r="B308" s="29">
        <v>9.2100000000000009</v>
      </c>
      <c r="C308" s="31">
        <v>62.31</v>
      </c>
      <c r="D308" s="28" t="s">
        <v>8</v>
      </c>
      <c r="E308" s="34">
        <f t="shared" si="4"/>
        <v>1.5709966436996767E-3</v>
      </c>
    </row>
    <row r="309" spans="1:5" ht="15.75" customHeight="1" x14ac:dyDescent="0.3">
      <c r="A309" s="28">
        <v>26</v>
      </c>
      <c r="B309" s="29">
        <v>7.31</v>
      </c>
      <c r="C309" s="31">
        <v>62.13</v>
      </c>
      <c r="D309" s="28" t="s">
        <v>8</v>
      </c>
      <c r="E309" s="34">
        <f t="shared" si="4"/>
        <v>1.5664583770351617E-3</v>
      </c>
    </row>
    <row r="310" spans="1:5" ht="15.75" customHeight="1" x14ac:dyDescent="0.3">
      <c r="A310" s="28">
        <v>46</v>
      </c>
      <c r="B310" s="29">
        <v>7.22</v>
      </c>
      <c r="C310" s="31">
        <v>61.92</v>
      </c>
      <c r="D310" s="28" t="s">
        <v>8</v>
      </c>
      <c r="E310" s="34">
        <f t="shared" si="4"/>
        <v>1.5611637325932271E-3</v>
      </c>
    </row>
    <row r="311" spans="1:5" ht="15.75" customHeight="1" x14ac:dyDescent="0.3">
      <c r="A311" s="28">
        <v>5</v>
      </c>
      <c r="B311" s="29">
        <v>6.8</v>
      </c>
      <c r="C311" s="31">
        <v>61.9</v>
      </c>
      <c r="D311" s="28" t="s">
        <v>9</v>
      </c>
      <c r="E311" s="34">
        <f t="shared" si="4"/>
        <v>1.5606594807416143E-3</v>
      </c>
    </row>
    <row r="312" spans="1:5" ht="15.75" customHeight="1" x14ac:dyDescent="0.3">
      <c r="A312" s="28">
        <v>19</v>
      </c>
      <c r="B312" s="29">
        <v>8.7799999999999994</v>
      </c>
      <c r="C312" s="31">
        <v>61.87</v>
      </c>
      <c r="D312" s="28" t="s">
        <v>9</v>
      </c>
      <c r="E312" s="34">
        <f t="shared" si="4"/>
        <v>1.5599031029641952E-3</v>
      </c>
    </row>
    <row r="313" spans="1:5" ht="15.75" customHeight="1" x14ac:dyDescent="0.3">
      <c r="A313" s="28">
        <v>48</v>
      </c>
      <c r="B313" s="29">
        <v>4.6900000000000004</v>
      </c>
      <c r="C313" s="31">
        <v>61.81</v>
      </c>
      <c r="D313" s="28" t="s">
        <v>9</v>
      </c>
      <c r="E313" s="34">
        <f t="shared" si="4"/>
        <v>1.5583903474093569E-3</v>
      </c>
    </row>
    <row r="314" spans="1:5" ht="15.75" customHeight="1" x14ac:dyDescent="0.3">
      <c r="A314" s="28">
        <v>17</v>
      </c>
      <c r="B314" s="29">
        <v>7.93</v>
      </c>
      <c r="C314" s="31">
        <v>61.63</v>
      </c>
      <c r="D314" s="28" t="s">
        <v>9</v>
      </c>
      <c r="E314" s="34">
        <f t="shared" si="4"/>
        <v>1.5538520807448417E-3</v>
      </c>
    </row>
    <row r="315" spans="1:5" ht="15.75" customHeight="1" x14ac:dyDescent="0.3">
      <c r="A315" s="28">
        <v>25</v>
      </c>
      <c r="B315" s="29">
        <v>6.28</v>
      </c>
      <c r="C315" s="31">
        <v>61.5</v>
      </c>
      <c r="D315" s="28" t="s">
        <v>9</v>
      </c>
      <c r="E315" s="34">
        <f t="shared" si="4"/>
        <v>1.5505744437093584E-3</v>
      </c>
    </row>
    <row r="316" spans="1:5" ht="15.75" customHeight="1" x14ac:dyDescent="0.3">
      <c r="A316" s="28">
        <v>13</v>
      </c>
      <c r="B316" s="29">
        <v>5.67</v>
      </c>
      <c r="C316" s="31">
        <v>61.28</v>
      </c>
      <c r="D316" s="28" t="s">
        <v>9</v>
      </c>
      <c r="E316" s="34">
        <f t="shared" si="4"/>
        <v>1.5450276733416175E-3</v>
      </c>
    </row>
    <row r="317" spans="1:5" ht="15.75" customHeight="1" x14ac:dyDescent="0.3">
      <c r="A317" s="28">
        <v>48</v>
      </c>
      <c r="B317" s="29">
        <v>5.53</v>
      </c>
      <c r="C317" s="31">
        <v>61.26</v>
      </c>
      <c r="D317" s="28" t="s">
        <v>9</v>
      </c>
      <c r="E317" s="34">
        <f t="shared" si="4"/>
        <v>1.5445234214900047E-3</v>
      </c>
    </row>
    <row r="318" spans="1:5" ht="15.75" customHeight="1" x14ac:dyDescent="0.3">
      <c r="A318" s="28">
        <v>37</v>
      </c>
      <c r="B318" s="29">
        <v>9.44</v>
      </c>
      <c r="C318" s="31">
        <v>61.2</v>
      </c>
      <c r="D318" s="28" t="s">
        <v>9</v>
      </c>
      <c r="E318" s="34">
        <f t="shared" si="4"/>
        <v>1.5430106659351664E-3</v>
      </c>
    </row>
    <row r="319" spans="1:5" ht="15.75" customHeight="1" x14ac:dyDescent="0.3">
      <c r="A319" s="28">
        <v>12</v>
      </c>
      <c r="B319" s="29">
        <v>6.96</v>
      </c>
      <c r="C319" s="31">
        <v>61.19</v>
      </c>
      <c r="D319" s="28" t="s">
        <v>9</v>
      </c>
      <c r="E319" s="34">
        <f t="shared" si="4"/>
        <v>1.5427585400093599E-3</v>
      </c>
    </row>
    <row r="320" spans="1:5" ht="15.75" customHeight="1" x14ac:dyDescent="0.3">
      <c r="A320" s="28">
        <v>43</v>
      </c>
      <c r="B320" s="29">
        <v>9.01</v>
      </c>
      <c r="C320" s="31">
        <v>61.06</v>
      </c>
      <c r="D320" s="28" t="s">
        <v>8</v>
      </c>
      <c r="E320" s="34">
        <f t="shared" si="4"/>
        <v>1.5394809029738768E-3</v>
      </c>
    </row>
    <row r="321" spans="1:5" ht="15.75" customHeight="1" x14ac:dyDescent="0.3">
      <c r="A321" s="28">
        <v>17</v>
      </c>
      <c r="B321" s="29">
        <v>7.7</v>
      </c>
      <c r="C321" s="31">
        <v>61.02</v>
      </c>
      <c r="D321" s="28" t="s">
        <v>9</v>
      </c>
      <c r="E321" s="34">
        <f t="shared" si="4"/>
        <v>1.5384723992706512E-3</v>
      </c>
    </row>
    <row r="322" spans="1:5" ht="15.75" customHeight="1" x14ac:dyDescent="0.3">
      <c r="A322" s="28">
        <v>30</v>
      </c>
      <c r="B322" s="29">
        <v>4.1500000000000004</v>
      </c>
      <c r="C322" s="31">
        <v>60.58</v>
      </c>
      <c r="D322" s="28" t="s">
        <v>8</v>
      </c>
      <c r="E322" s="34">
        <f t="shared" si="4"/>
        <v>1.5273788585351696E-3</v>
      </c>
    </row>
    <row r="323" spans="1:5" ht="15.75" customHeight="1" x14ac:dyDescent="0.3">
      <c r="A323" s="28">
        <v>18</v>
      </c>
      <c r="B323" s="29">
        <v>6.54</v>
      </c>
      <c r="C323" s="31">
        <v>60.5</v>
      </c>
      <c r="D323" s="28" t="s">
        <v>9</v>
      </c>
      <c r="E323" s="34">
        <f t="shared" si="4"/>
        <v>1.5253618511287183E-3</v>
      </c>
    </row>
    <row r="324" spans="1:5" ht="15.75" customHeight="1" x14ac:dyDescent="0.3">
      <c r="A324" s="28">
        <v>5</v>
      </c>
      <c r="B324" s="29">
        <v>8.2200000000000006</v>
      </c>
      <c r="C324" s="31">
        <v>60.49</v>
      </c>
      <c r="D324" s="28" t="s">
        <v>8</v>
      </c>
      <c r="E324" s="34">
        <f t="shared" si="4"/>
        <v>1.525109725202912E-3</v>
      </c>
    </row>
    <row r="325" spans="1:5" ht="15.75" customHeight="1" x14ac:dyDescent="0.3">
      <c r="A325" s="28">
        <v>31</v>
      </c>
      <c r="B325" s="29">
        <v>9</v>
      </c>
      <c r="C325" s="31">
        <v>60.12</v>
      </c>
      <c r="D325" s="28" t="s">
        <v>9</v>
      </c>
      <c r="E325" s="34">
        <f t="shared" si="4"/>
        <v>1.5157810659480752E-3</v>
      </c>
    </row>
    <row r="326" spans="1:5" ht="15.75" customHeight="1" x14ac:dyDescent="0.3">
      <c r="A326" s="28">
        <v>29</v>
      </c>
      <c r="B326" s="29">
        <v>4.8499999999999996</v>
      </c>
      <c r="C326" s="31">
        <v>59.93</v>
      </c>
      <c r="D326" s="28" t="s">
        <v>9</v>
      </c>
      <c r="E326" s="34">
        <f t="shared" si="4"/>
        <v>1.5109906733577537E-3</v>
      </c>
    </row>
    <row r="327" spans="1:5" ht="15.75" customHeight="1" x14ac:dyDescent="0.3">
      <c r="A327" s="28">
        <v>30</v>
      </c>
      <c r="B327" s="29">
        <v>6.45</v>
      </c>
      <c r="C327" s="31">
        <v>59.74</v>
      </c>
      <c r="D327" s="28" t="s">
        <v>8</v>
      </c>
      <c r="E327" s="34">
        <f t="shared" ref="E327:E390" si="5">C327/C$667</f>
        <v>1.5062002807674322E-3</v>
      </c>
    </row>
    <row r="328" spans="1:5" ht="15.75" customHeight="1" x14ac:dyDescent="0.3">
      <c r="A328" s="28">
        <v>17</v>
      </c>
      <c r="B328" s="29">
        <v>9.17</v>
      </c>
      <c r="C328" s="31">
        <v>59.62</v>
      </c>
      <c r="D328" s="28" t="s">
        <v>9</v>
      </c>
      <c r="E328" s="34">
        <f t="shared" si="5"/>
        <v>1.5031747696577552E-3</v>
      </c>
    </row>
    <row r="329" spans="1:5" ht="15.75" customHeight="1" x14ac:dyDescent="0.3">
      <c r="A329" s="28">
        <v>24</v>
      </c>
      <c r="B329" s="29">
        <v>8.6199999999999992</v>
      </c>
      <c r="C329" s="31">
        <v>59.47</v>
      </c>
      <c r="D329" s="28" t="s">
        <v>9</v>
      </c>
      <c r="E329" s="34">
        <f t="shared" si="5"/>
        <v>1.4993928807706593E-3</v>
      </c>
    </row>
    <row r="330" spans="1:5" ht="15.75" customHeight="1" x14ac:dyDescent="0.3">
      <c r="A330" s="28">
        <v>49</v>
      </c>
      <c r="B330" s="29">
        <v>6.76</v>
      </c>
      <c r="C330" s="31">
        <v>59.39</v>
      </c>
      <c r="D330" s="28" t="s">
        <v>8</v>
      </c>
      <c r="E330" s="34">
        <f t="shared" si="5"/>
        <v>1.497375873364208E-3</v>
      </c>
    </row>
    <row r="331" spans="1:5" ht="15.75" customHeight="1" x14ac:dyDescent="0.3">
      <c r="A331" s="28">
        <v>29</v>
      </c>
      <c r="B331" s="29">
        <v>6.27</v>
      </c>
      <c r="C331" s="31">
        <v>59.31</v>
      </c>
      <c r="D331" s="28" t="s">
        <v>9</v>
      </c>
      <c r="E331" s="34">
        <f t="shared" si="5"/>
        <v>1.4953588659577569E-3</v>
      </c>
    </row>
    <row r="332" spans="1:5" ht="15.75" customHeight="1" x14ac:dyDescent="0.3">
      <c r="A332" s="28">
        <v>25</v>
      </c>
      <c r="B332" s="29">
        <v>6.25</v>
      </c>
      <c r="C332" s="31">
        <v>59.23</v>
      </c>
      <c r="D332" s="28" t="s">
        <v>9</v>
      </c>
      <c r="E332" s="34">
        <f t="shared" si="5"/>
        <v>1.4933418585513056E-3</v>
      </c>
    </row>
    <row r="333" spans="1:5" ht="15.75" customHeight="1" x14ac:dyDescent="0.3">
      <c r="A333" s="28">
        <v>24</v>
      </c>
      <c r="B333" s="29">
        <v>5.18</v>
      </c>
      <c r="C333" s="31">
        <v>59.17</v>
      </c>
      <c r="D333" s="28" t="s">
        <v>9</v>
      </c>
      <c r="E333" s="34">
        <f t="shared" si="5"/>
        <v>1.4918291029964673E-3</v>
      </c>
    </row>
    <row r="334" spans="1:5" ht="15.75" customHeight="1" x14ac:dyDescent="0.3">
      <c r="A334" s="28">
        <v>24</v>
      </c>
      <c r="B334" s="29">
        <v>4</v>
      </c>
      <c r="C334" s="31">
        <v>58.99</v>
      </c>
      <c r="D334" s="28" t="s">
        <v>9</v>
      </c>
      <c r="E334" s="34">
        <f t="shared" si="5"/>
        <v>1.4872908363319521E-3</v>
      </c>
    </row>
    <row r="335" spans="1:5" ht="15.75" customHeight="1" x14ac:dyDescent="0.3">
      <c r="A335" s="28">
        <v>39</v>
      </c>
      <c r="B335" s="29">
        <v>3</v>
      </c>
      <c r="C335" s="31">
        <v>58.89</v>
      </c>
      <c r="D335" s="28" t="s">
        <v>9</v>
      </c>
      <c r="E335" s="34">
        <f t="shared" si="5"/>
        <v>1.4847695770738882E-3</v>
      </c>
    </row>
    <row r="336" spans="1:5" ht="15.75" customHeight="1" x14ac:dyDescent="0.3">
      <c r="A336" s="28">
        <v>36</v>
      </c>
      <c r="B336" s="29">
        <v>6.97</v>
      </c>
      <c r="C336" s="31">
        <v>58.86</v>
      </c>
      <c r="D336" s="28" t="s">
        <v>8</v>
      </c>
      <c r="E336" s="34">
        <f t="shared" si="5"/>
        <v>1.4840131992964688E-3</v>
      </c>
    </row>
    <row r="337" spans="1:5" ht="15.75" customHeight="1" x14ac:dyDescent="0.3">
      <c r="A337" s="28">
        <v>14</v>
      </c>
      <c r="B337" s="29">
        <v>6.28</v>
      </c>
      <c r="C337" s="31">
        <v>58.85</v>
      </c>
      <c r="D337" s="28" t="s">
        <v>8</v>
      </c>
      <c r="E337" s="34">
        <f t="shared" si="5"/>
        <v>1.4837610733706625E-3</v>
      </c>
    </row>
    <row r="338" spans="1:5" ht="15.75" customHeight="1" x14ac:dyDescent="0.3">
      <c r="A338" s="28">
        <v>34</v>
      </c>
      <c r="B338" s="29">
        <v>5.59</v>
      </c>
      <c r="C338" s="31">
        <v>58.41</v>
      </c>
      <c r="D338" s="28" t="s">
        <v>9</v>
      </c>
      <c r="E338" s="34">
        <f t="shared" si="5"/>
        <v>1.4726675326351807E-3</v>
      </c>
    </row>
    <row r="339" spans="1:5" ht="15.75" customHeight="1" x14ac:dyDescent="0.3">
      <c r="A339" s="28">
        <v>23</v>
      </c>
      <c r="B339" s="29">
        <v>9.3000000000000007</v>
      </c>
      <c r="C339" s="31">
        <v>58.26</v>
      </c>
      <c r="D339" s="28" t="s">
        <v>9</v>
      </c>
      <c r="E339" s="34">
        <f t="shared" si="5"/>
        <v>1.4688856437480849E-3</v>
      </c>
    </row>
    <row r="340" spans="1:5" ht="15.75" customHeight="1" x14ac:dyDescent="0.3">
      <c r="A340" s="28">
        <v>20</v>
      </c>
      <c r="B340" s="29">
        <v>5.0999999999999996</v>
      </c>
      <c r="C340" s="31">
        <v>58.17</v>
      </c>
      <c r="D340" s="28" t="s">
        <v>9</v>
      </c>
      <c r="E340" s="34">
        <f t="shared" si="5"/>
        <v>1.4666165104158272E-3</v>
      </c>
    </row>
    <row r="341" spans="1:5" ht="15.75" customHeight="1" x14ac:dyDescent="0.3">
      <c r="A341" s="28">
        <v>19</v>
      </c>
      <c r="B341" s="29">
        <v>7.59</v>
      </c>
      <c r="C341" s="31">
        <v>58.01</v>
      </c>
      <c r="D341" s="28" t="s">
        <v>8</v>
      </c>
      <c r="E341" s="34">
        <f t="shared" si="5"/>
        <v>1.4625824956029248E-3</v>
      </c>
    </row>
    <row r="342" spans="1:5" ht="15.75" customHeight="1" x14ac:dyDescent="0.3">
      <c r="A342" s="28">
        <v>42</v>
      </c>
      <c r="B342" s="29">
        <v>7.67</v>
      </c>
      <c r="C342" s="31">
        <v>58.01</v>
      </c>
      <c r="D342" s="28" t="s">
        <v>9</v>
      </c>
      <c r="E342" s="34">
        <f t="shared" si="5"/>
        <v>1.4625824956029248E-3</v>
      </c>
    </row>
    <row r="343" spans="1:5" ht="15.75" customHeight="1" x14ac:dyDescent="0.3">
      <c r="A343" s="28">
        <v>26</v>
      </c>
      <c r="B343" s="29">
        <v>4.76</v>
      </c>
      <c r="C343" s="31">
        <v>58</v>
      </c>
      <c r="D343" s="28" t="s">
        <v>8</v>
      </c>
      <c r="E343" s="34">
        <f t="shared" si="5"/>
        <v>1.4623303696771185E-3</v>
      </c>
    </row>
    <row r="344" spans="1:5" ht="15.75" customHeight="1" x14ac:dyDescent="0.3">
      <c r="A344" s="28">
        <v>5</v>
      </c>
      <c r="B344" s="29">
        <v>4.24</v>
      </c>
      <c r="C344" s="31">
        <v>57.95</v>
      </c>
      <c r="D344" s="28" t="s">
        <v>9</v>
      </c>
      <c r="E344" s="34">
        <f t="shared" si="5"/>
        <v>1.4610697400480866E-3</v>
      </c>
    </row>
    <row r="345" spans="1:5" ht="15.75" customHeight="1" x14ac:dyDescent="0.3">
      <c r="A345" s="28">
        <v>35</v>
      </c>
      <c r="B345" s="29">
        <v>7.37</v>
      </c>
      <c r="C345" s="31">
        <v>57.9</v>
      </c>
      <c r="D345" s="28" t="s">
        <v>8</v>
      </c>
      <c r="E345" s="34">
        <f t="shared" si="5"/>
        <v>1.4598091104190544E-3</v>
      </c>
    </row>
    <row r="346" spans="1:5" ht="15.75" customHeight="1" x14ac:dyDescent="0.3">
      <c r="A346" s="28">
        <v>21</v>
      </c>
      <c r="B346" s="29">
        <v>9.58</v>
      </c>
      <c r="C346" s="31">
        <v>57.83</v>
      </c>
      <c r="D346" s="28" t="s">
        <v>9</v>
      </c>
      <c r="E346" s="34">
        <f t="shared" si="5"/>
        <v>1.4580442289384096E-3</v>
      </c>
    </row>
    <row r="347" spans="1:5" ht="15.75" customHeight="1" x14ac:dyDescent="0.3">
      <c r="A347" s="28">
        <v>21</v>
      </c>
      <c r="B347" s="29">
        <v>9.5299999999999994</v>
      </c>
      <c r="C347" s="31">
        <v>57.6</v>
      </c>
      <c r="D347" s="28" t="s">
        <v>9</v>
      </c>
      <c r="E347" s="34">
        <f t="shared" si="5"/>
        <v>1.4522453326448626E-3</v>
      </c>
    </row>
    <row r="348" spans="1:5" ht="15.75" customHeight="1" x14ac:dyDescent="0.3">
      <c r="A348" s="28">
        <v>24</v>
      </c>
      <c r="B348" s="29">
        <v>4.67</v>
      </c>
      <c r="C348" s="31">
        <v>57.53</v>
      </c>
      <c r="D348" s="28" t="s">
        <v>8</v>
      </c>
      <c r="E348" s="34">
        <f t="shared" si="5"/>
        <v>1.4504804511642178E-3</v>
      </c>
    </row>
    <row r="349" spans="1:5" ht="15.75" customHeight="1" x14ac:dyDescent="0.3">
      <c r="A349" s="28">
        <v>10</v>
      </c>
      <c r="B349" s="29">
        <v>6.69</v>
      </c>
      <c r="C349" s="31">
        <v>57.47</v>
      </c>
      <c r="D349" s="28" t="s">
        <v>8</v>
      </c>
      <c r="E349" s="34">
        <f t="shared" si="5"/>
        <v>1.4489676956093793E-3</v>
      </c>
    </row>
    <row r="350" spans="1:5" ht="15.75" customHeight="1" x14ac:dyDescent="0.3">
      <c r="A350" s="28">
        <v>31</v>
      </c>
      <c r="B350" s="29">
        <v>5.87</v>
      </c>
      <c r="C350" s="31">
        <v>57.43</v>
      </c>
      <c r="D350" s="28" t="s">
        <v>8</v>
      </c>
      <c r="E350" s="34">
        <f t="shared" si="5"/>
        <v>1.4479591919061537E-3</v>
      </c>
    </row>
    <row r="351" spans="1:5" ht="15.75" customHeight="1" x14ac:dyDescent="0.3">
      <c r="A351" s="28">
        <v>20</v>
      </c>
      <c r="B351" s="29">
        <v>7.69</v>
      </c>
      <c r="C351" s="31">
        <v>57.42</v>
      </c>
      <c r="D351" s="28" t="s">
        <v>9</v>
      </c>
      <c r="E351" s="34">
        <f t="shared" si="5"/>
        <v>1.4477070659803474E-3</v>
      </c>
    </row>
    <row r="352" spans="1:5" ht="15.75" customHeight="1" x14ac:dyDescent="0.3">
      <c r="A352" s="28">
        <v>7</v>
      </c>
      <c r="B352" s="29">
        <v>6.99</v>
      </c>
      <c r="C352" s="31">
        <v>57.18</v>
      </c>
      <c r="D352" s="28" t="s">
        <v>9</v>
      </c>
      <c r="E352" s="34">
        <f t="shared" si="5"/>
        <v>1.4416560437609937E-3</v>
      </c>
    </row>
    <row r="353" spans="1:5" ht="15.75" customHeight="1" x14ac:dyDescent="0.3">
      <c r="A353" s="28">
        <v>7</v>
      </c>
      <c r="B353" s="29">
        <v>7.45</v>
      </c>
      <c r="C353" s="31">
        <v>57.16</v>
      </c>
      <c r="D353" s="28" t="s">
        <v>8</v>
      </c>
      <c r="E353" s="34">
        <f t="shared" si="5"/>
        <v>1.4411517919093808E-3</v>
      </c>
    </row>
    <row r="354" spans="1:5" ht="15.75" customHeight="1" x14ac:dyDescent="0.3">
      <c r="A354" s="28">
        <v>20</v>
      </c>
      <c r="B354" s="29">
        <v>7.31</v>
      </c>
      <c r="C354" s="31">
        <v>57.02</v>
      </c>
      <c r="D354" s="28" t="s">
        <v>8</v>
      </c>
      <c r="E354" s="34">
        <f t="shared" si="5"/>
        <v>1.4376220289480915E-3</v>
      </c>
    </row>
    <row r="355" spans="1:5" ht="15.75" customHeight="1" x14ac:dyDescent="0.3">
      <c r="A355" s="28">
        <v>29</v>
      </c>
      <c r="B355" s="29">
        <v>12.2</v>
      </c>
      <c r="C355" s="31">
        <v>57.01</v>
      </c>
      <c r="D355" s="28" t="s">
        <v>9</v>
      </c>
      <c r="E355" s="34">
        <f t="shared" si="5"/>
        <v>1.437369903022285E-3</v>
      </c>
    </row>
    <row r="356" spans="1:5" ht="15.75" customHeight="1" x14ac:dyDescent="0.3">
      <c r="A356" s="28">
        <v>31</v>
      </c>
      <c r="B356" s="29">
        <v>7.33</v>
      </c>
      <c r="C356" s="31">
        <v>57</v>
      </c>
      <c r="D356" s="28" t="s">
        <v>8</v>
      </c>
      <c r="E356" s="34">
        <f t="shared" si="5"/>
        <v>1.4371177770964784E-3</v>
      </c>
    </row>
    <row r="357" spans="1:5" ht="15.75" customHeight="1" x14ac:dyDescent="0.3">
      <c r="A357" s="28">
        <v>36</v>
      </c>
      <c r="B357" s="29">
        <v>5.98</v>
      </c>
      <c r="C357" s="31">
        <v>56.8</v>
      </c>
      <c r="D357" s="28" t="s">
        <v>9</v>
      </c>
      <c r="E357" s="34">
        <f t="shared" si="5"/>
        <v>1.4320752585803504E-3</v>
      </c>
    </row>
    <row r="358" spans="1:5" ht="15.75" customHeight="1" x14ac:dyDescent="0.3">
      <c r="A358" s="28">
        <v>38</v>
      </c>
      <c r="B358" s="29">
        <v>7.34</v>
      </c>
      <c r="C358" s="31">
        <v>56.7</v>
      </c>
      <c r="D358" s="28" t="s">
        <v>8</v>
      </c>
      <c r="E358" s="34">
        <f t="shared" si="5"/>
        <v>1.4295539993222867E-3</v>
      </c>
    </row>
    <row r="359" spans="1:5" ht="15.75" customHeight="1" x14ac:dyDescent="0.3">
      <c r="A359" s="28">
        <v>10</v>
      </c>
      <c r="B359" s="29">
        <v>7.21</v>
      </c>
      <c r="C359" s="31">
        <v>56.66</v>
      </c>
      <c r="D359" s="28" t="s">
        <v>8</v>
      </c>
      <c r="E359" s="34">
        <f t="shared" si="5"/>
        <v>1.4285454956190608E-3</v>
      </c>
    </row>
    <row r="360" spans="1:5" ht="15.75" customHeight="1" x14ac:dyDescent="0.3">
      <c r="A360" s="28">
        <v>4</v>
      </c>
      <c r="B360" s="29">
        <v>5.83</v>
      </c>
      <c r="C360" s="31">
        <v>56.59</v>
      </c>
      <c r="D360" s="28" t="s">
        <v>9</v>
      </c>
      <c r="E360" s="34">
        <f t="shared" si="5"/>
        <v>1.4267806141384162E-3</v>
      </c>
    </row>
    <row r="361" spans="1:5" ht="15.75" customHeight="1" x14ac:dyDescent="0.3">
      <c r="A361" s="28">
        <v>25</v>
      </c>
      <c r="B361" s="29">
        <v>8.39</v>
      </c>
      <c r="C361" s="31">
        <v>56.55</v>
      </c>
      <c r="D361" s="28" t="s">
        <v>8</v>
      </c>
      <c r="E361" s="34">
        <f t="shared" si="5"/>
        <v>1.4257721104351904E-3</v>
      </c>
    </row>
    <row r="362" spans="1:5" ht="15.75" customHeight="1" x14ac:dyDescent="0.3">
      <c r="A362" s="28">
        <v>7</v>
      </c>
      <c r="B362" s="29">
        <v>5.66</v>
      </c>
      <c r="C362" s="31">
        <v>56.39</v>
      </c>
      <c r="D362" s="28" t="s">
        <v>9</v>
      </c>
      <c r="E362" s="34">
        <f t="shared" si="5"/>
        <v>1.4217380956222882E-3</v>
      </c>
    </row>
    <row r="363" spans="1:5" ht="15.75" customHeight="1" x14ac:dyDescent="0.3">
      <c r="A363" s="28">
        <v>27</v>
      </c>
      <c r="B363" s="29">
        <v>11.4</v>
      </c>
      <c r="C363" s="31">
        <v>56.37</v>
      </c>
      <c r="D363" s="28" t="s">
        <v>9</v>
      </c>
      <c r="E363" s="34">
        <f t="shared" si="5"/>
        <v>1.4212338437706753E-3</v>
      </c>
    </row>
    <row r="364" spans="1:5" ht="15.75" customHeight="1" x14ac:dyDescent="0.3">
      <c r="A364" s="28">
        <v>16</v>
      </c>
      <c r="B364" s="29">
        <v>5.91</v>
      </c>
      <c r="C364" s="31">
        <v>56.36</v>
      </c>
      <c r="D364" s="28" t="s">
        <v>8</v>
      </c>
      <c r="E364" s="34">
        <f t="shared" si="5"/>
        <v>1.4209817178448688E-3</v>
      </c>
    </row>
    <row r="365" spans="1:5" ht="15.75" customHeight="1" x14ac:dyDescent="0.3">
      <c r="A365" s="28">
        <v>31</v>
      </c>
      <c r="B365" s="29">
        <v>6.34</v>
      </c>
      <c r="C365" s="31">
        <v>56.08</v>
      </c>
      <c r="D365" s="28" t="s">
        <v>9</v>
      </c>
      <c r="E365" s="34">
        <f t="shared" si="5"/>
        <v>1.4139221919222897E-3</v>
      </c>
    </row>
    <row r="366" spans="1:5" ht="15.75" customHeight="1" x14ac:dyDescent="0.3">
      <c r="A366" s="28">
        <v>39</v>
      </c>
      <c r="B366" s="29">
        <v>7.98</v>
      </c>
      <c r="C366" s="31">
        <v>55.94</v>
      </c>
      <c r="D366" s="28" t="s">
        <v>9</v>
      </c>
      <c r="E366" s="34">
        <f t="shared" si="5"/>
        <v>1.4103924289610001E-3</v>
      </c>
    </row>
    <row r="367" spans="1:5" ht="15.75" customHeight="1" x14ac:dyDescent="0.3">
      <c r="A367" s="28">
        <v>35</v>
      </c>
      <c r="B367" s="29">
        <v>7.46</v>
      </c>
      <c r="C367" s="31">
        <v>55.88</v>
      </c>
      <c r="D367" s="28" t="s">
        <v>9</v>
      </c>
      <c r="E367" s="34">
        <f t="shared" si="5"/>
        <v>1.4088796734061618E-3</v>
      </c>
    </row>
    <row r="368" spans="1:5" ht="15.75" customHeight="1" x14ac:dyDescent="0.3">
      <c r="A368" s="28">
        <v>8</v>
      </c>
      <c r="B368" s="29">
        <v>9.25</v>
      </c>
      <c r="C368" s="31">
        <v>55.73</v>
      </c>
      <c r="D368" s="28" t="s">
        <v>9</v>
      </c>
      <c r="E368" s="34">
        <f t="shared" si="5"/>
        <v>1.4050977845190657E-3</v>
      </c>
    </row>
    <row r="369" spans="1:5" ht="15.75" customHeight="1" x14ac:dyDescent="0.3">
      <c r="A369" s="28">
        <v>74</v>
      </c>
      <c r="B369" s="29">
        <v>6.65</v>
      </c>
      <c r="C369" s="31">
        <v>55.63</v>
      </c>
      <c r="D369" s="28" t="s">
        <v>9</v>
      </c>
      <c r="E369" s="34">
        <f t="shared" si="5"/>
        <v>1.4025765252610018E-3</v>
      </c>
    </row>
    <row r="370" spans="1:5" ht="15.75" customHeight="1" x14ac:dyDescent="0.3">
      <c r="A370" s="28">
        <v>34</v>
      </c>
      <c r="B370" s="29">
        <v>6.82</v>
      </c>
      <c r="C370" s="31">
        <v>55.6</v>
      </c>
      <c r="D370" s="28" t="s">
        <v>8</v>
      </c>
      <c r="E370" s="34">
        <f t="shared" si="5"/>
        <v>1.4018201474835827E-3</v>
      </c>
    </row>
    <row r="371" spans="1:5" ht="15.75" customHeight="1" x14ac:dyDescent="0.3">
      <c r="A371" s="28">
        <v>28</v>
      </c>
      <c r="B371" s="29">
        <v>8.86</v>
      </c>
      <c r="C371" s="31">
        <v>55.5</v>
      </c>
      <c r="D371" s="28" t="s">
        <v>8</v>
      </c>
      <c r="E371" s="34">
        <f t="shared" si="5"/>
        <v>1.3992988882255185E-3</v>
      </c>
    </row>
    <row r="372" spans="1:5" ht="15.75" customHeight="1" x14ac:dyDescent="0.3">
      <c r="A372" s="28">
        <v>52</v>
      </c>
      <c r="B372" s="29">
        <v>6.17</v>
      </c>
      <c r="C372" s="31">
        <v>55.46</v>
      </c>
      <c r="D372" s="28" t="s">
        <v>8</v>
      </c>
      <c r="E372" s="34">
        <f t="shared" si="5"/>
        <v>1.3982903845222931E-3</v>
      </c>
    </row>
    <row r="373" spans="1:5" ht="15.75" customHeight="1" x14ac:dyDescent="0.3">
      <c r="A373" s="28">
        <v>16</v>
      </c>
      <c r="B373" s="29">
        <v>6.66</v>
      </c>
      <c r="C373" s="31">
        <v>55.42</v>
      </c>
      <c r="D373" s="28" t="s">
        <v>9</v>
      </c>
      <c r="E373" s="34">
        <f t="shared" si="5"/>
        <v>1.3972818808190674E-3</v>
      </c>
    </row>
    <row r="374" spans="1:5" ht="15.75" customHeight="1" x14ac:dyDescent="0.3">
      <c r="A374" s="28">
        <v>17</v>
      </c>
      <c r="B374" s="29">
        <v>6.06</v>
      </c>
      <c r="C374" s="31">
        <v>55.41</v>
      </c>
      <c r="D374" s="28" t="s">
        <v>8</v>
      </c>
      <c r="E374" s="34">
        <f t="shared" si="5"/>
        <v>1.3970297548932609E-3</v>
      </c>
    </row>
    <row r="375" spans="1:5" ht="15.75" customHeight="1" x14ac:dyDescent="0.3">
      <c r="A375" s="28">
        <v>17</v>
      </c>
      <c r="B375" s="29">
        <v>9.66</v>
      </c>
      <c r="C375" s="31">
        <v>55.39</v>
      </c>
      <c r="D375" s="28" t="s">
        <v>9</v>
      </c>
      <c r="E375" s="34">
        <f t="shared" si="5"/>
        <v>1.3965255030416481E-3</v>
      </c>
    </row>
    <row r="376" spans="1:5" ht="15.75" customHeight="1" x14ac:dyDescent="0.3">
      <c r="A376" s="28">
        <v>22</v>
      </c>
      <c r="B376" s="29">
        <v>6.09</v>
      </c>
      <c r="C376" s="31">
        <v>55.31</v>
      </c>
      <c r="D376" s="28" t="s">
        <v>9</v>
      </c>
      <c r="E376" s="34">
        <f t="shared" si="5"/>
        <v>1.394508495635197E-3</v>
      </c>
    </row>
    <row r="377" spans="1:5" ht="15.75" customHeight="1" x14ac:dyDescent="0.3">
      <c r="A377" s="28">
        <v>40</v>
      </c>
      <c r="B377" s="29">
        <v>9.27</v>
      </c>
      <c r="C377" s="31">
        <v>55.3</v>
      </c>
      <c r="D377" s="28" t="s">
        <v>9</v>
      </c>
      <c r="E377" s="34">
        <f t="shared" si="5"/>
        <v>1.3942563697093905E-3</v>
      </c>
    </row>
    <row r="378" spans="1:5" ht="15.75" customHeight="1" x14ac:dyDescent="0.3">
      <c r="A378" s="28">
        <v>21</v>
      </c>
      <c r="B378" s="29">
        <v>7.87</v>
      </c>
      <c r="C378" s="31">
        <v>55.21</v>
      </c>
      <c r="D378" s="28" t="s">
        <v>9</v>
      </c>
      <c r="E378" s="34">
        <f t="shared" si="5"/>
        <v>1.3919872363771331E-3</v>
      </c>
    </row>
    <row r="379" spans="1:5" ht="15.75" customHeight="1" x14ac:dyDescent="0.3">
      <c r="A379" s="28">
        <v>29</v>
      </c>
      <c r="B379" s="29">
        <v>5.96</v>
      </c>
      <c r="C379" s="31">
        <v>55.1</v>
      </c>
      <c r="D379" s="28" t="s">
        <v>8</v>
      </c>
      <c r="E379" s="34">
        <f t="shared" si="5"/>
        <v>1.3892138511932626E-3</v>
      </c>
    </row>
    <row r="380" spans="1:5" ht="15.75" customHeight="1" x14ac:dyDescent="0.3">
      <c r="A380" s="28">
        <v>13</v>
      </c>
      <c r="B380" s="29">
        <v>7.11</v>
      </c>
      <c r="C380" s="31">
        <v>55.07</v>
      </c>
      <c r="D380" s="28" t="s">
        <v>8</v>
      </c>
      <c r="E380" s="34">
        <f t="shared" si="5"/>
        <v>1.3884574734158433E-3</v>
      </c>
    </row>
    <row r="381" spans="1:5" ht="15.75" customHeight="1" x14ac:dyDescent="0.3">
      <c r="A381" s="28">
        <v>7</v>
      </c>
      <c r="B381" s="29">
        <v>6.43</v>
      </c>
      <c r="C381" s="31">
        <v>54.95</v>
      </c>
      <c r="D381" s="28" t="s">
        <v>8</v>
      </c>
      <c r="E381" s="34">
        <f t="shared" si="5"/>
        <v>1.3854319623061667E-3</v>
      </c>
    </row>
    <row r="382" spans="1:5" ht="15.75" customHeight="1" x14ac:dyDescent="0.3">
      <c r="A382" s="28">
        <v>32</v>
      </c>
      <c r="B382" s="29">
        <v>6.24</v>
      </c>
      <c r="C382" s="31">
        <v>54.93</v>
      </c>
      <c r="D382" s="28" t="s">
        <v>9</v>
      </c>
      <c r="E382" s="34">
        <f t="shared" si="5"/>
        <v>1.3849277104545537E-3</v>
      </c>
    </row>
    <row r="383" spans="1:5" ht="15.75" customHeight="1" x14ac:dyDescent="0.3">
      <c r="A383" s="28">
        <v>33</v>
      </c>
      <c r="B383" s="29">
        <v>5.91</v>
      </c>
      <c r="C383" s="31">
        <v>54.85</v>
      </c>
      <c r="D383" s="28" t="s">
        <v>9</v>
      </c>
      <c r="E383" s="34">
        <f t="shared" si="5"/>
        <v>1.3829107030481026E-3</v>
      </c>
    </row>
    <row r="384" spans="1:5" ht="15.75" customHeight="1" x14ac:dyDescent="0.3">
      <c r="A384" s="28">
        <v>5</v>
      </c>
      <c r="B384" s="29">
        <v>6.85</v>
      </c>
      <c r="C384" s="31">
        <v>54.74</v>
      </c>
      <c r="D384" s="28" t="s">
        <v>9</v>
      </c>
      <c r="E384" s="34">
        <f t="shared" si="5"/>
        <v>1.3801373178642321E-3</v>
      </c>
    </row>
    <row r="385" spans="1:5" ht="15.75" customHeight="1" x14ac:dyDescent="0.3">
      <c r="A385" s="28">
        <v>28</v>
      </c>
      <c r="B385" s="29">
        <v>7.58</v>
      </c>
      <c r="C385" s="31">
        <v>54.71</v>
      </c>
      <c r="D385" s="28" t="s">
        <v>9</v>
      </c>
      <c r="E385" s="34">
        <f t="shared" si="5"/>
        <v>1.379380940086813E-3</v>
      </c>
    </row>
    <row r="386" spans="1:5" ht="15.75" customHeight="1" x14ac:dyDescent="0.3">
      <c r="A386" s="28">
        <v>27</v>
      </c>
      <c r="B386" s="29">
        <v>6.63</v>
      </c>
      <c r="C386" s="31">
        <v>54.57</v>
      </c>
      <c r="D386" s="28" t="s">
        <v>8</v>
      </c>
      <c r="E386" s="34">
        <f t="shared" si="5"/>
        <v>1.3758511771255234E-3</v>
      </c>
    </row>
    <row r="387" spans="1:5" ht="15.75" customHeight="1" x14ac:dyDescent="0.3">
      <c r="A387" s="28">
        <v>42</v>
      </c>
      <c r="B387" s="29">
        <v>7.52</v>
      </c>
      <c r="C387" s="31">
        <v>54.57</v>
      </c>
      <c r="D387" s="28" t="s">
        <v>8</v>
      </c>
      <c r="E387" s="34">
        <f t="shared" si="5"/>
        <v>1.3758511771255234E-3</v>
      </c>
    </row>
    <row r="388" spans="1:5" ht="15.75" customHeight="1" x14ac:dyDescent="0.3">
      <c r="A388" s="28">
        <v>15</v>
      </c>
      <c r="B388" s="29">
        <v>6.65</v>
      </c>
      <c r="C388" s="31">
        <v>54.56</v>
      </c>
      <c r="D388" s="28" t="s">
        <v>9</v>
      </c>
      <c r="E388" s="34">
        <f t="shared" si="5"/>
        <v>1.3755990511997171E-3</v>
      </c>
    </row>
    <row r="389" spans="1:5" ht="15.75" customHeight="1" x14ac:dyDescent="0.3">
      <c r="A389" s="28">
        <v>45</v>
      </c>
      <c r="B389" s="29">
        <v>6.06</v>
      </c>
      <c r="C389" s="31">
        <v>54.51</v>
      </c>
      <c r="D389" s="28" t="s">
        <v>9</v>
      </c>
      <c r="E389" s="34">
        <f t="shared" si="5"/>
        <v>1.374338421570685E-3</v>
      </c>
    </row>
    <row r="390" spans="1:5" ht="15.75" customHeight="1" x14ac:dyDescent="0.3">
      <c r="A390" s="28">
        <v>27</v>
      </c>
      <c r="B390" s="29">
        <v>8.41</v>
      </c>
      <c r="C390" s="31">
        <v>54.49</v>
      </c>
      <c r="D390" s="28" t="s">
        <v>9</v>
      </c>
      <c r="E390" s="34">
        <f t="shared" si="5"/>
        <v>1.3738341697190721E-3</v>
      </c>
    </row>
    <row r="391" spans="1:5" ht="15.75" customHeight="1" x14ac:dyDescent="0.3">
      <c r="A391" s="28">
        <v>33</v>
      </c>
      <c r="B391" s="29">
        <v>6.99</v>
      </c>
      <c r="C391" s="31">
        <v>54.32</v>
      </c>
      <c r="D391" s="28" t="s">
        <v>8</v>
      </c>
      <c r="E391" s="34">
        <f t="shared" ref="E391:E454" si="6">C391/C$667</f>
        <v>1.3695480289803634E-3</v>
      </c>
    </row>
    <row r="392" spans="1:5" ht="15.75" customHeight="1" x14ac:dyDescent="0.3">
      <c r="A392" s="28">
        <v>7</v>
      </c>
      <c r="B392" s="29">
        <v>7.75</v>
      </c>
      <c r="C392" s="31">
        <v>54.28</v>
      </c>
      <c r="D392" s="28" t="s">
        <v>8</v>
      </c>
      <c r="E392" s="34">
        <f t="shared" si="6"/>
        <v>1.3685395252771378E-3</v>
      </c>
    </row>
    <row r="393" spans="1:5" ht="15.75" customHeight="1" x14ac:dyDescent="0.3">
      <c r="A393" s="28">
        <v>27</v>
      </c>
      <c r="B393" s="29">
        <v>7.7</v>
      </c>
      <c r="C393" s="31">
        <v>53.96</v>
      </c>
      <c r="D393" s="28" t="s">
        <v>8</v>
      </c>
      <c r="E393" s="34">
        <f t="shared" si="6"/>
        <v>1.3604714956513329E-3</v>
      </c>
    </row>
    <row r="394" spans="1:5" ht="15.75" customHeight="1" x14ac:dyDescent="0.3">
      <c r="A394" s="28">
        <v>26</v>
      </c>
      <c r="B394" s="29">
        <v>6.23</v>
      </c>
      <c r="C394" s="31">
        <v>53.91</v>
      </c>
      <c r="D394" s="28" t="s">
        <v>8</v>
      </c>
      <c r="E394" s="34">
        <f t="shared" si="6"/>
        <v>1.359210866022301E-3</v>
      </c>
    </row>
    <row r="395" spans="1:5" ht="15.75" customHeight="1" x14ac:dyDescent="0.3">
      <c r="A395" s="28">
        <v>35</v>
      </c>
      <c r="B395" s="29">
        <v>8.08</v>
      </c>
      <c r="C395" s="31">
        <v>53.62</v>
      </c>
      <c r="D395" s="28" t="s">
        <v>9</v>
      </c>
      <c r="E395" s="34">
        <f t="shared" si="6"/>
        <v>1.3518992141739153E-3</v>
      </c>
    </row>
    <row r="396" spans="1:5" ht="15.75" customHeight="1" x14ac:dyDescent="0.3">
      <c r="A396" s="28">
        <v>18</v>
      </c>
      <c r="B396" s="29">
        <v>7.31</v>
      </c>
      <c r="C396" s="31">
        <v>53.57</v>
      </c>
      <c r="D396" s="28" t="s">
        <v>9</v>
      </c>
      <c r="E396" s="34">
        <f t="shared" si="6"/>
        <v>1.3506385845448833E-3</v>
      </c>
    </row>
    <row r="397" spans="1:5" ht="15.75" customHeight="1" x14ac:dyDescent="0.3">
      <c r="A397" s="28">
        <v>8</v>
      </c>
      <c r="B397" s="29">
        <v>4.87</v>
      </c>
      <c r="C397" s="31">
        <v>53.52</v>
      </c>
      <c r="D397" s="28" t="s">
        <v>9</v>
      </c>
      <c r="E397" s="34">
        <f t="shared" si="6"/>
        <v>1.3493779549158514E-3</v>
      </c>
    </row>
    <row r="398" spans="1:5" ht="15.75" customHeight="1" x14ac:dyDescent="0.3">
      <c r="A398" s="28">
        <v>23</v>
      </c>
      <c r="B398" s="29">
        <v>8.9700000000000006</v>
      </c>
      <c r="C398" s="31">
        <v>53.51</v>
      </c>
      <c r="D398" s="28" t="s">
        <v>9</v>
      </c>
      <c r="E398" s="34">
        <f t="shared" si="6"/>
        <v>1.3491258289900449E-3</v>
      </c>
    </row>
    <row r="399" spans="1:5" ht="15.75" customHeight="1" x14ac:dyDescent="0.3">
      <c r="A399" s="28">
        <v>20</v>
      </c>
      <c r="B399" s="29">
        <v>5.93</v>
      </c>
      <c r="C399" s="31">
        <v>53.41</v>
      </c>
      <c r="D399" s="28" t="s">
        <v>8</v>
      </c>
      <c r="E399" s="34">
        <f t="shared" si="6"/>
        <v>1.3466045697319809E-3</v>
      </c>
    </row>
    <row r="400" spans="1:5" ht="15.75" customHeight="1" x14ac:dyDescent="0.3">
      <c r="A400" s="28">
        <v>16</v>
      </c>
      <c r="B400" s="29">
        <v>9.65</v>
      </c>
      <c r="C400" s="31">
        <v>53.41</v>
      </c>
      <c r="D400" s="28" t="s">
        <v>8</v>
      </c>
      <c r="E400" s="34">
        <f t="shared" si="6"/>
        <v>1.3466045697319809E-3</v>
      </c>
    </row>
    <row r="401" spans="1:5" ht="15.75" customHeight="1" x14ac:dyDescent="0.3">
      <c r="A401" s="28">
        <v>15</v>
      </c>
      <c r="B401" s="29">
        <v>7.42</v>
      </c>
      <c r="C401" s="31">
        <v>53.4</v>
      </c>
      <c r="D401" s="28" t="s">
        <v>9</v>
      </c>
      <c r="E401" s="34">
        <f t="shared" si="6"/>
        <v>1.3463524438061746E-3</v>
      </c>
    </row>
    <row r="402" spans="1:5" ht="15.75" customHeight="1" x14ac:dyDescent="0.3">
      <c r="A402" s="28">
        <v>58</v>
      </c>
      <c r="B402" s="29">
        <v>5.36</v>
      </c>
      <c r="C402" s="31">
        <v>53.2</v>
      </c>
      <c r="D402" s="28" t="s">
        <v>8</v>
      </c>
      <c r="E402" s="34">
        <f t="shared" si="6"/>
        <v>1.3413099252900468E-3</v>
      </c>
    </row>
    <row r="403" spans="1:5" ht="15.75" customHeight="1" x14ac:dyDescent="0.3">
      <c r="A403" s="28">
        <v>1</v>
      </c>
      <c r="B403" s="29">
        <v>7.93</v>
      </c>
      <c r="C403" s="31">
        <v>53.17</v>
      </c>
      <c r="D403" s="28" t="s">
        <v>9</v>
      </c>
      <c r="E403" s="34">
        <f t="shared" si="6"/>
        <v>1.3405535475126274E-3</v>
      </c>
    </row>
    <row r="404" spans="1:5" ht="15.75" customHeight="1" x14ac:dyDescent="0.3">
      <c r="A404" s="28">
        <v>46</v>
      </c>
      <c r="B404" s="29">
        <v>5.45</v>
      </c>
      <c r="C404" s="31">
        <v>53</v>
      </c>
      <c r="D404" s="28" t="s">
        <v>9</v>
      </c>
      <c r="E404" s="34">
        <f t="shared" si="6"/>
        <v>1.3362674067739185E-3</v>
      </c>
    </row>
    <row r="405" spans="1:5" ht="15.75" customHeight="1" x14ac:dyDescent="0.3">
      <c r="A405" s="28">
        <v>28</v>
      </c>
      <c r="B405" s="29">
        <v>7.97</v>
      </c>
      <c r="C405" s="31">
        <v>52.97</v>
      </c>
      <c r="D405" s="28" t="s">
        <v>8</v>
      </c>
      <c r="E405" s="34">
        <f t="shared" si="6"/>
        <v>1.3355110289964994E-3</v>
      </c>
    </row>
    <row r="406" spans="1:5" ht="15.75" customHeight="1" x14ac:dyDescent="0.3">
      <c r="A406" s="28">
        <v>8</v>
      </c>
      <c r="B406" s="29">
        <v>4.22</v>
      </c>
      <c r="C406" s="31">
        <v>52.93</v>
      </c>
      <c r="D406" s="28" t="s">
        <v>9</v>
      </c>
      <c r="E406" s="34">
        <f t="shared" si="6"/>
        <v>1.3345025252932737E-3</v>
      </c>
    </row>
    <row r="407" spans="1:5" ht="15.75" customHeight="1" x14ac:dyDescent="0.3">
      <c r="A407" s="28">
        <v>17</v>
      </c>
      <c r="B407" s="29">
        <v>6.91</v>
      </c>
      <c r="C407" s="31">
        <v>52.93</v>
      </c>
      <c r="D407" s="28" t="s">
        <v>9</v>
      </c>
      <c r="E407" s="34">
        <f t="shared" si="6"/>
        <v>1.3345025252932737E-3</v>
      </c>
    </row>
    <row r="408" spans="1:5" ht="15.75" customHeight="1" x14ac:dyDescent="0.3">
      <c r="A408" s="28">
        <v>30</v>
      </c>
      <c r="B408" s="29">
        <v>8.61</v>
      </c>
      <c r="C408" s="31">
        <v>52.91</v>
      </c>
      <c r="D408" s="28" t="s">
        <v>8</v>
      </c>
      <c r="E408" s="34">
        <f t="shared" si="6"/>
        <v>1.3339982734416609E-3</v>
      </c>
    </row>
    <row r="409" spans="1:5" ht="15.75" customHeight="1" x14ac:dyDescent="0.3">
      <c r="A409" s="28">
        <v>29</v>
      </c>
      <c r="B409" s="29">
        <v>6.59</v>
      </c>
      <c r="C409" s="31">
        <v>52.87</v>
      </c>
      <c r="D409" s="28" t="s">
        <v>8</v>
      </c>
      <c r="E409" s="34">
        <f t="shared" si="6"/>
        <v>1.3329897697384355E-3</v>
      </c>
    </row>
    <row r="410" spans="1:5" ht="15.75" customHeight="1" x14ac:dyDescent="0.3">
      <c r="A410" s="28">
        <v>18</v>
      </c>
      <c r="B410" s="29">
        <v>6.06</v>
      </c>
      <c r="C410" s="31">
        <v>52.84</v>
      </c>
      <c r="D410" s="28" t="s">
        <v>8</v>
      </c>
      <c r="E410" s="34">
        <f t="shared" si="6"/>
        <v>1.3322333919610163E-3</v>
      </c>
    </row>
    <row r="411" spans="1:5" ht="15.75" customHeight="1" x14ac:dyDescent="0.3">
      <c r="A411" s="28">
        <v>14</v>
      </c>
      <c r="B411" s="29">
        <v>5.15</v>
      </c>
      <c r="C411" s="31">
        <v>52.61</v>
      </c>
      <c r="D411" s="28" t="s">
        <v>8</v>
      </c>
      <c r="E411" s="34">
        <f t="shared" si="6"/>
        <v>1.3264344956674689E-3</v>
      </c>
    </row>
    <row r="412" spans="1:5" ht="15.75" customHeight="1" x14ac:dyDescent="0.3">
      <c r="A412" s="28">
        <v>18</v>
      </c>
      <c r="B412" s="29">
        <v>4.3</v>
      </c>
      <c r="C412" s="31">
        <v>52.51</v>
      </c>
      <c r="D412" s="28" t="s">
        <v>8</v>
      </c>
      <c r="E412" s="34">
        <f t="shared" si="6"/>
        <v>1.323913236409405E-3</v>
      </c>
    </row>
    <row r="413" spans="1:5" ht="15.75" customHeight="1" x14ac:dyDescent="0.3">
      <c r="A413" s="28">
        <v>11</v>
      </c>
      <c r="B413" s="29">
        <v>6.64</v>
      </c>
      <c r="C413" s="31">
        <v>52.51</v>
      </c>
      <c r="D413" s="28" t="s">
        <v>8</v>
      </c>
      <c r="E413" s="34">
        <f t="shared" si="6"/>
        <v>1.323913236409405E-3</v>
      </c>
    </row>
    <row r="414" spans="1:5" ht="15.75" customHeight="1" x14ac:dyDescent="0.3">
      <c r="A414" s="28">
        <v>1</v>
      </c>
      <c r="B414" s="29">
        <v>5.45</v>
      </c>
      <c r="C414" s="31">
        <v>52.45</v>
      </c>
      <c r="D414" s="28" t="s">
        <v>8</v>
      </c>
      <c r="E414" s="34">
        <f t="shared" si="6"/>
        <v>1.3224004808545667E-3</v>
      </c>
    </row>
    <row r="415" spans="1:5" ht="15.75" customHeight="1" x14ac:dyDescent="0.3">
      <c r="A415" s="28">
        <v>31</v>
      </c>
      <c r="B415" s="29">
        <v>7.46</v>
      </c>
      <c r="C415" s="31">
        <v>52.4</v>
      </c>
      <c r="D415" s="28" t="s">
        <v>9</v>
      </c>
      <c r="E415" s="34">
        <f t="shared" si="6"/>
        <v>1.3211398512255345E-3</v>
      </c>
    </row>
    <row r="416" spans="1:5" ht="15.75" customHeight="1" x14ac:dyDescent="0.3">
      <c r="A416" s="28">
        <v>6</v>
      </c>
      <c r="B416" s="29">
        <v>6.34</v>
      </c>
      <c r="C416" s="31">
        <v>52.36</v>
      </c>
      <c r="D416" s="28" t="s">
        <v>8</v>
      </c>
      <c r="E416" s="34">
        <f t="shared" si="6"/>
        <v>1.3201313475223091E-3</v>
      </c>
    </row>
    <row r="417" spans="1:5" ht="15.75" customHeight="1" x14ac:dyDescent="0.3">
      <c r="A417" s="28">
        <v>38</v>
      </c>
      <c r="B417" s="29">
        <v>6.82</v>
      </c>
      <c r="C417" s="31">
        <v>52.3</v>
      </c>
      <c r="D417" s="28" t="s">
        <v>8</v>
      </c>
      <c r="E417" s="34">
        <f t="shared" si="6"/>
        <v>1.3186185919674706E-3</v>
      </c>
    </row>
    <row r="418" spans="1:5" ht="15.75" customHeight="1" x14ac:dyDescent="0.3">
      <c r="A418" s="28">
        <v>26</v>
      </c>
      <c r="B418" s="29">
        <v>5.31</v>
      </c>
      <c r="C418" s="31">
        <v>52.1</v>
      </c>
      <c r="D418" s="28" t="s">
        <v>9</v>
      </c>
      <c r="E418" s="34">
        <f t="shared" si="6"/>
        <v>1.3135760734513428E-3</v>
      </c>
    </row>
    <row r="419" spans="1:5" ht="15.75" customHeight="1" x14ac:dyDescent="0.3">
      <c r="A419" s="28">
        <v>28</v>
      </c>
      <c r="B419" s="29">
        <v>7.21</v>
      </c>
      <c r="C419" s="31">
        <v>52.08</v>
      </c>
      <c r="D419" s="28" t="s">
        <v>8</v>
      </c>
      <c r="E419" s="34">
        <f t="shared" si="6"/>
        <v>1.3130718215997297E-3</v>
      </c>
    </row>
    <row r="420" spans="1:5" ht="15.75" customHeight="1" x14ac:dyDescent="0.3">
      <c r="A420" s="28">
        <v>17</v>
      </c>
      <c r="B420" s="29">
        <v>9.1</v>
      </c>
      <c r="C420" s="31">
        <v>52.07</v>
      </c>
      <c r="D420" s="28" t="s">
        <v>9</v>
      </c>
      <c r="E420" s="34">
        <f t="shared" si="6"/>
        <v>1.3128196956739234E-3</v>
      </c>
    </row>
    <row r="421" spans="1:5" ht="15.75" customHeight="1" x14ac:dyDescent="0.3">
      <c r="A421" s="28">
        <v>9</v>
      </c>
      <c r="B421" s="29">
        <v>2.2999999999999998</v>
      </c>
      <c r="C421" s="31">
        <v>51.99</v>
      </c>
      <c r="D421" s="28" t="s">
        <v>9</v>
      </c>
      <c r="E421" s="34">
        <f t="shared" si="6"/>
        <v>1.3108026882674723E-3</v>
      </c>
    </row>
    <row r="422" spans="1:5" ht="15.75" customHeight="1" x14ac:dyDescent="0.3">
      <c r="A422" s="28">
        <v>9</v>
      </c>
      <c r="B422" s="29">
        <v>3.5</v>
      </c>
      <c r="C422" s="31">
        <v>51.98</v>
      </c>
      <c r="D422" s="28" t="s">
        <v>9</v>
      </c>
      <c r="E422" s="34">
        <f t="shared" si="6"/>
        <v>1.3105505623416658E-3</v>
      </c>
    </row>
    <row r="423" spans="1:5" ht="15.75" customHeight="1" x14ac:dyDescent="0.3">
      <c r="A423" s="28">
        <v>26</v>
      </c>
      <c r="B423" s="29">
        <v>6.82</v>
      </c>
      <c r="C423" s="31">
        <v>51.97</v>
      </c>
      <c r="D423" s="28" t="s">
        <v>9</v>
      </c>
      <c r="E423" s="34">
        <f t="shared" si="6"/>
        <v>1.3102984364158595E-3</v>
      </c>
    </row>
    <row r="424" spans="1:5" ht="15.75" customHeight="1" x14ac:dyDescent="0.3">
      <c r="A424" s="28">
        <v>38</v>
      </c>
      <c r="B424" s="29">
        <v>9.8800000000000008</v>
      </c>
      <c r="C424" s="31">
        <v>51.89</v>
      </c>
      <c r="D424" s="28" t="s">
        <v>9</v>
      </c>
      <c r="E424" s="34">
        <f t="shared" si="6"/>
        <v>1.3082814290094082E-3</v>
      </c>
    </row>
    <row r="425" spans="1:5" ht="15.75" customHeight="1" x14ac:dyDescent="0.3">
      <c r="A425" s="28">
        <v>13</v>
      </c>
      <c r="B425" s="29">
        <v>10.6</v>
      </c>
      <c r="C425" s="31">
        <v>51.82</v>
      </c>
      <c r="D425" s="28" t="s">
        <v>9</v>
      </c>
      <c r="E425" s="34">
        <f t="shared" si="6"/>
        <v>1.3065165475287634E-3</v>
      </c>
    </row>
    <row r="426" spans="1:5" ht="15.75" customHeight="1" x14ac:dyDescent="0.3">
      <c r="A426" s="28">
        <v>28</v>
      </c>
      <c r="B426" s="29">
        <v>5.34</v>
      </c>
      <c r="C426" s="31">
        <v>51.69</v>
      </c>
      <c r="D426" s="28" t="s">
        <v>8</v>
      </c>
      <c r="E426" s="34">
        <f t="shared" si="6"/>
        <v>1.3032389104932801E-3</v>
      </c>
    </row>
    <row r="427" spans="1:5" ht="15.75" customHeight="1" x14ac:dyDescent="0.3">
      <c r="A427" s="28">
        <v>5</v>
      </c>
      <c r="B427" s="29">
        <v>4.04</v>
      </c>
      <c r="C427" s="31">
        <v>51.67</v>
      </c>
      <c r="D427" s="28" t="s">
        <v>9</v>
      </c>
      <c r="E427" s="34">
        <f t="shared" si="6"/>
        <v>1.3027346586416675E-3</v>
      </c>
    </row>
    <row r="428" spans="1:5" ht="15.75" customHeight="1" x14ac:dyDescent="0.3">
      <c r="A428" s="28">
        <v>2</v>
      </c>
      <c r="B428" s="29">
        <v>4.6399999999999997</v>
      </c>
      <c r="C428" s="31">
        <v>51.67</v>
      </c>
      <c r="D428" s="28" t="s">
        <v>8</v>
      </c>
      <c r="E428" s="34">
        <f t="shared" si="6"/>
        <v>1.3027346586416675E-3</v>
      </c>
    </row>
    <row r="429" spans="1:5" ht="15.75" customHeight="1" x14ac:dyDescent="0.3">
      <c r="A429" s="28">
        <v>29</v>
      </c>
      <c r="B429" s="29">
        <v>5.88</v>
      </c>
      <c r="C429" s="31">
        <v>51.43</v>
      </c>
      <c r="D429" s="28" t="s">
        <v>9</v>
      </c>
      <c r="E429" s="34">
        <f t="shared" si="6"/>
        <v>1.2966836364223138E-3</v>
      </c>
    </row>
    <row r="430" spans="1:5" ht="15.75" customHeight="1" x14ac:dyDescent="0.3">
      <c r="A430" s="28">
        <v>38</v>
      </c>
      <c r="B430" s="29">
        <v>7.31</v>
      </c>
      <c r="C430" s="31">
        <v>51.36</v>
      </c>
      <c r="D430" s="28" t="s">
        <v>9</v>
      </c>
      <c r="E430" s="34">
        <f t="shared" si="6"/>
        <v>1.294918754941669E-3</v>
      </c>
    </row>
    <row r="431" spans="1:5" ht="15.75" customHeight="1" x14ac:dyDescent="0.3">
      <c r="A431" s="28">
        <v>34</v>
      </c>
      <c r="B431" s="29">
        <v>5.15</v>
      </c>
      <c r="C431" s="31">
        <v>51.35</v>
      </c>
      <c r="D431" s="28" t="s">
        <v>8</v>
      </c>
      <c r="E431" s="34">
        <f t="shared" si="6"/>
        <v>1.2946666290158627E-3</v>
      </c>
    </row>
    <row r="432" spans="1:5" ht="15.75" customHeight="1" x14ac:dyDescent="0.3">
      <c r="A432" s="28">
        <v>3</v>
      </c>
      <c r="B432" s="29">
        <v>6.22</v>
      </c>
      <c r="C432" s="31">
        <v>51.33</v>
      </c>
      <c r="D432" s="28" t="s">
        <v>8</v>
      </c>
      <c r="E432" s="34">
        <f t="shared" si="6"/>
        <v>1.2941623771642499E-3</v>
      </c>
    </row>
    <row r="433" spans="1:5" ht="15.75" customHeight="1" x14ac:dyDescent="0.3">
      <c r="A433" s="28">
        <v>3</v>
      </c>
      <c r="B433" s="29">
        <v>5.63</v>
      </c>
      <c r="C433" s="31">
        <v>51.14</v>
      </c>
      <c r="D433" s="28" t="s">
        <v>8</v>
      </c>
      <c r="E433" s="34">
        <f t="shared" si="6"/>
        <v>1.2893719845739283E-3</v>
      </c>
    </row>
    <row r="434" spans="1:5" ht="15.75" customHeight="1" x14ac:dyDescent="0.3">
      <c r="A434" s="28">
        <v>10</v>
      </c>
      <c r="B434" s="29">
        <v>9.75</v>
      </c>
      <c r="C434" s="31">
        <v>51.12</v>
      </c>
      <c r="D434" s="28" t="s">
        <v>8</v>
      </c>
      <c r="E434" s="34">
        <f t="shared" si="6"/>
        <v>1.2888677327223153E-3</v>
      </c>
    </row>
    <row r="435" spans="1:5" ht="15.75" customHeight="1" x14ac:dyDescent="0.3">
      <c r="A435" s="28">
        <v>38</v>
      </c>
      <c r="B435" s="29">
        <v>4.75</v>
      </c>
      <c r="C435" s="31">
        <v>51</v>
      </c>
      <c r="D435" s="28" t="s">
        <v>8</v>
      </c>
      <c r="E435" s="34">
        <f t="shared" si="6"/>
        <v>1.2858422216126388E-3</v>
      </c>
    </row>
    <row r="436" spans="1:5" ht="15.75" customHeight="1" x14ac:dyDescent="0.3">
      <c r="A436" s="28">
        <v>2</v>
      </c>
      <c r="B436" s="29">
        <v>5.0999999999999996</v>
      </c>
      <c r="C436" s="31">
        <v>51</v>
      </c>
      <c r="D436" s="28" t="s">
        <v>9</v>
      </c>
      <c r="E436" s="34">
        <f t="shared" si="6"/>
        <v>1.2858422216126388E-3</v>
      </c>
    </row>
    <row r="437" spans="1:5" ht="15.75" customHeight="1" x14ac:dyDescent="0.3">
      <c r="A437" s="28">
        <v>36</v>
      </c>
      <c r="B437" s="29">
        <v>5.86</v>
      </c>
      <c r="C437" s="31">
        <v>50.94</v>
      </c>
      <c r="D437" s="28" t="s">
        <v>9</v>
      </c>
      <c r="E437" s="34">
        <f t="shared" si="6"/>
        <v>1.2843294660578003E-3</v>
      </c>
    </row>
    <row r="438" spans="1:5" ht="15.75" customHeight="1" x14ac:dyDescent="0.3">
      <c r="A438" s="28">
        <v>12</v>
      </c>
      <c r="B438" s="29">
        <v>3.9</v>
      </c>
      <c r="C438" s="31">
        <v>50.93</v>
      </c>
      <c r="D438" s="28" t="s">
        <v>9</v>
      </c>
      <c r="E438" s="34">
        <f t="shared" si="6"/>
        <v>1.2840773401319938E-3</v>
      </c>
    </row>
    <row r="439" spans="1:5" ht="15.75" customHeight="1" x14ac:dyDescent="0.3">
      <c r="A439" s="28">
        <v>31</v>
      </c>
      <c r="B439" s="29">
        <v>6.55</v>
      </c>
      <c r="C439" s="31">
        <v>50.83</v>
      </c>
      <c r="D439" s="28" t="s">
        <v>8</v>
      </c>
      <c r="E439" s="34">
        <f t="shared" si="6"/>
        <v>1.2815560808739298E-3</v>
      </c>
    </row>
    <row r="440" spans="1:5" ht="15.75" customHeight="1" x14ac:dyDescent="0.3">
      <c r="A440" s="28">
        <v>38</v>
      </c>
      <c r="B440" s="29">
        <v>6.92</v>
      </c>
      <c r="C440" s="31">
        <v>50.8</v>
      </c>
      <c r="D440" s="28" t="s">
        <v>9</v>
      </c>
      <c r="E440" s="34">
        <f t="shared" si="6"/>
        <v>1.2807997030965107E-3</v>
      </c>
    </row>
    <row r="441" spans="1:5" ht="15.75" customHeight="1" x14ac:dyDescent="0.3">
      <c r="A441" s="28">
        <v>9</v>
      </c>
      <c r="B441" s="29">
        <v>4.3</v>
      </c>
      <c r="C441" s="31">
        <v>50.74</v>
      </c>
      <c r="D441" s="28" t="s">
        <v>8</v>
      </c>
      <c r="E441" s="34">
        <f t="shared" si="6"/>
        <v>1.2792869475416722E-3</v>
      </c>
    </row>
    <row r="442" spans="1:5" ht="15.75" customHeight="1" x14ac:dyDescent="0.3">
      <c r="A442" s="28">
        <v>52</v>
      </c>
      <c r="B442" s="29">
        <v>5.58</v>
      </c>
      <c r="C442" s="31">
        <v>50.66</v>
      </c>
      <c r="D442" s="28" t="s">
        <v>9</v>
      </c>
      <c r="E442" s="34">
        <f t="shared" si="6"/>
        <v>1.2772699401352209E-3</v>
      </c>
    </row>
    <row r="443" spans="1:5" ht="15.75" customHeight="1" x14ac:dyDescent="0.3">
      <c r="A443" s="28">
        <v>29</v>
      </c>
      <c r="B443" s="29">
        <v>8.2899999999999991</v>
      </c>
      <c r="C443" s="31">
        <v>50.65</v>
      </c>
      <c r="D443" s="28" t="s">
        <v>9</v>
      </c>
      <c r="E443" s="34">
        <f t="shared" si="6"/>
        <v>1.2770178142094146E-3</v>
      </c>
    </row>
    <row r="444" spans="1:5" ht="15.75" customHeight="1" x14ac:dyDescent="0.3">
      <c r="A444" s="28">
        <v>11</v>
      </c>
      <c r="B444" s="29">
        <v>6.33</v>
      </c>
      <c r="C444" s="31">
        <v>50.62</v>
      </c>
      <c r="D444" s="28" t="s">
        <v>8</v>
      </c>
      <c r="E444" s="34">
        <f t="shared" si="6"/>
        <v>1.2762614364319955E-3</v>
      </c>
    </row>
    <row r="445" spans="1:5" ht="15.75" customHeight="1" x14ac:dyDescent="0.3">
      <c r="A445" s="28">
        <v>9</v>
      </c>
      <c r="B445" s="29">
        <v>9.9600000000000009</v>
      </c>
      <c r="C445" s="31">
        <v>50.61</v>
      </c>
      <c r="D445" s="28" t="s">
        <v>8</v>
      </c>
      <c r="E445" s="34">
        <f t="shared" si="6"/>
        <v>1.2760093105061892E-3</v>
      </c>
    </row>
    <row r="446" spans="1:5" ht="15.75" customHeight="1" x14ac:dyDescent="0.3">
      <c r="A446" s="28">
        <v>34</v>
      </c>
      <c r="B446" s="29">
        <v>5.38</v>
      </c>
      <c r="C446" s="31">
        <v>50.46</v>
      </c>
      <c r="D446" s="28" t="s">
        <v>8</v>
      </c>
      <c r="E446" s="34">
        <f t="shared" si="6"/>
        <v>1.2722274216190931E-3</v>
      </c>
    </row>
    <row r="447" spans="1:5" ht="15.75" customHeight="1" x14ac:dyDescent="0.3">
      <c r="A447" s="28">
        <v>19</v>
      </c>
      <c r="B447" s="29">
        <v>3.8</v>
      </c>
      <c r="C447" s="31">
        <v>50.34</v>
      </c>
      <c r="D447" s="28" t="s">
        <v>9</v>
      </c>
      <c r="E447" s="34">
        <f t="shared" si="6"/>
        <v>1.2692019105094163E-3</v>
      </c>
    </row>
    <row r="448" spans="1:5" ht="15.75" customHeight="1" x14ac:dyDescent="0.3">
      <c r="A448" s="28">
        <v>23</v>
      </c>
      <c r="B448" s="29">
        <v>4.34</v>
      </c>
      <c r="C448" s="31">
        <v>50.33</v>
      </c>
      <c r="D448" s="28" t="s">
        <v>8</v>
      </c>
      <c r="E448" s="34">
        <f t="shared" si="6"/>
        <v>1.2689497845836098E-3</v>
      </c>
    </row>
    <row r="449" spans="1:5" ht="15.75" customHeight="1" x14ac:dyDescent="0.3">
      <c r="A449" s="28">
        <v>24</v>
      </c>
      <c r="B449" s="29">
        <v>6.46</v>
      </c>
      <c r="C449" s="31">
        <v>50.33</v>
      </c>
      <c r="D449" s="28" t="s">
        <v>9</v>
      </c>
      <c r="E449" s="34">
        <f t="shared" si="6"/>
        <v>1.2689497845836098E-3</v>
      </c>
    </row>
    <row r="450" spans="1:5" ht="15.75" customHeight="1" x14ac:dyDescent="0.3">
      <c r="A450" s="28">
        <v>33</v>
      </c>
      <c r="B450" s="29">
        <v>7.6</v>
      </c>
      <c r="C450" s="31">
        <v>50.29</v>
      </c>
      <c r="D450" s="28" t="s">
        <v>8</v>
      </c>
      <c r="E450" s="34">
        <f t="shared" si="6"/>
        <v>1.2679412808803843E-3</v>
      </c>
    </row>
    <row r="451" spans="1:5" ht="15.75" customHeight="1" x14ac:dyDescent="0.3">
      <c r="A451" s="28">
        <v>9</v>
      </c>
      <c r="B451" s="29">
        <v>5.67</v>
      </c>
      <c r="C451" s="31">
        <v>50.27</v>
      </c>
      <c r="D451" s="28" t="s">
        <v>8</v>
      </c>
      <c r="E451" s="34">
        <f t="shared" si="6"/>
        <v>1.2674370290287715E-3</v>
      </c>
    </row>
    <row r="452" spans="1:5" ht="15.75" customHeight="1" x14ac:dyDescent="0.3">
      <c r="A452" s="28">
        <v>8</v>
      </c>
      <c r="B452" s="29">
        <v>6.67</v>
      </c>
      <c r="C452" s="31">
        <v>50.18</v>
      </c>
      <c r="D452" s="28" t="s">
        <v>9</v>
      </c>
      <c r="E452" s="34">
        <f t="shared" si="6"/>
        <v>1.2651678956965139E-3</v>
      </c>
    </row>
    <row r="453" spans="1:5" ht="15.75" customHeight="1" x14ac:dyDescent="0.3">
      <c r="A453" s="28">
        <v>43</v>
      </c>
      <c r="B453" s="29">
        <v>4.68</v>
      </c>
      <c r="C453" s="31">
        <v>50.07</v>
      </c>
      <c r="D453" s="28" t="s">
        <v>8</v>
      </c>
      <c r="E453" s="34">
        <f t="shared" si="6"/>
        <v>1.2623945105126435E-3</v>
      </c>
    </row>
    <row r="454" spans="1:5" ht="15.75" customHeight="1" x14ac:dyDescent="0.3">
      <c r="A454" s="28">
        <v>31</v>
      </c>
      <c r="B454" s="29">
        <v>8.94</v>
      </c>
      <c r="C454" s="31">
        <v>49.92</v>
      </c>
      <c r="D454" s="28" t="s">
        <v>9</v>
      </c>
      <c r="E454" s="34">
        <f t="shared" si="6"/>
        <v>1.2586126216255476E-3</v>
      </c>
    </row>
    <row r="455" spans="1:5" ht="15.75" customHeight="1" x14ac:dyDescent="0.3">
      <c r="A455" s="28">
        <v>35</v>
      </c>
      <c r="B455" s="29">
        <v>4.68</v>
      </c>
      <c r="C455" s="31">
        <v>49.81</v>
      </c>
      <c r="D455" s="28" t="s">
        <v>8</v>
      </c>
      <c r="E455" s="34">
        <f t="shared" ref="E455:E518" si="7">C455/C$667</f>
        <v>1.2558392364416771E-3</v>
      </c>
    </row>
    <row r="456" spans="1:5" ht="15.75" customHeight="1" x14ac:dyDescent="0.3">
      <c r="A456" s="28">
        <v>32</v>
      </c>
      <c r="B456" s="29">
        <v>7.48</v>
      </c>
      <c r="C456" s="31">
        <v>49.8</v>
      </c>
      <c r="D456" s="28" t="s">
        <v>9</v>
      </c>
      <c r="E456" s="34">
        <f t="shared" si="7"/>
        <v>1.2555871105158706E-3</v>
      </c>
    </row>
    <row r="457" spans="1:5" ht="15.75" customHeight="1" x14ac:dyDescent="0.3">
      <c r="A457" s="28">
        <v>39</v>
      </c>
      <c r="B457" s="29">
        <v>5.47</v>
      </c>
      <c r="C457" s="31">
        <v>49.61</v>
      </c>
      <c r="D457" s="28" t="s">
        <v>8</v>
      </c>
      <c r="E457" s="34">
        <f t="shared" si="7"/>
        <v>1.2507967179255491E-3</v>
      </c>
    </row>
    <row r="458" spans="1:5" ht="15.75" customHeight="1" x14ac:dyDescent="0.3">
      <c r="A458" s="28">
        <v>34</v>
      </c>
      <c r="B458" s="29">
        <v>6.12</v>
      </c>
      <c r="C458" s="31">
        <v>49.54</v>
      </c>
      <c r="D458" s="28" t="s">
        <v>8</v>
      </c>
      <c r="E458" s="34">
        <f t="shared" si="7"/>
        <v>1.2490318364449043E-3</v>
      </c>
    </row>
    <row r="459" spans="1:5" ht="15.75" customHeight="1" x14ac:dyDescent="0.3">
      <c r="A459" s="28">
        <v>25</v>
      </c>
      <c r="B459" s="29">
        <v>5.97</v>
      </c>
      <c r="C459" s="31">
        <v>49.48</v>
      </c>
      <c r="D459" s="28" t="s">
        <v>9</v>
      </c>
      <c r="E459" s="34">
        <f t="shared" si="7"/>
        <v>1.2475190808900658E-3</v>
      </c>
    </row>
    <row r="460" spans="1:5" ht="15.75" customHeight="1" x14ac:dyDescent="0.3">
      <c r="A460" s="28">
        <v>23</v>
      </c>
      <c r="B460" s="29">
        <v>4.1500000000000004</v>
      </c>
      <c r="C460" s="31">
        <v>49.27</v>
      </c>
      <c r="D460" s="28" t="s">
        <v>8</v>
      </c>
      <c r="E460" s="34">
        <f t="shared" si="7"/>
        <v>1.2422244364481316E-3</v>
      </c>
    </row>
    <row r="461" spans="1:5" ht="15.75" customHeight="1" x14ac:dyDescent="0.3">
      <c r="A461" s="28">
        <v>22</v>
      </c>
      <c r="B461" s="29">
        <v>5.7</v>
      </c>
      <c r="C461" s="31">
        <v>49.24</v>
      </c>
      <c r="D461" s="28" t="s">
        <v>8</v>
      </c>
      <c r="E461" s="34">
        <f t="shared" si="7"/>
        <v>1.2414680586707123E-3</v>
      </c>
    </row>
    <row r="462" spans="1:5" ht="15.75" customHeight="1" x14ac:dyDescent="0.3">
      <c r="A462" s="28">
        <v>30</v>
      </c>
      <c r="B462" s="29">
        <v>6.15</v>
      </c>
      <c r="C462" s="31">
        <v>48.99</v>
      </c>
      <c r="D462" s="28" t="s">
        <v>9</v>
      </c>
      <c r="E462" s="34">
        <f t="shared" si="7"/>
        <v>1.2351649105255523E-3</v>
      </c>
    </row>
    <row r="463" spans="1:5" ht="15.75" customHeight="1" x14ac:dyDescent="0.3">
      <c r="A463" s="28">
        <v>41</v>
      </c>
      <c r="B463" s="29">
        <v>7.05</v>
      </c>
      <c r="C463" s="31">
        <v>48.83</v>
      </c>
      <c r="D463" s="28" t="s">
        <v>8</v>
      </c>
      <c r="E463" s="34">
        <f t="shared" si="7"/>
        <v>1.2311308957126499E-3</v>
      </c>
    </row>
    <row r="464" spans="1:5" ht="15.75" customHeight="1" x14ac:dyDescent="0.3">
      <c r="A464" s="28">
        <v>18</v>
      </c>
      <c r="B464" s="29">
        <v>5.66</v>
      </c>
      <c r="C464" s="31">
        <v>48.8</v>
      </c>
      <c r="D464" s="28" t="s">
        <v>8</v>
      </c>
      <c r="E464" s="34">
        <f t="shared" si="7"/>
        <v>1.2303745179352307E-3</v>
      </c>
    </row>
    <row r="465" spans="1:5" ht="15.75" customHeight="1" x14ac:dyDescent="0.3">
      <c r="A465" s="28">
        <v>38</v>
      </c>
      <c r="B465" s="29">
        <v>3.6</v>
      </c>
      <c r="C465" s="31">
        <v>48.57</v>
      </c>
      <c r="D465" s="28" t="s">
        <v>9</v>
      </c>
      <c r="E465" s="34">
        <f t="shared" si="7"/>
        <v>1.2245756216416835E-3</v>
      </c>
    </row>
    <row r="466" spans="1:5" ht="15.75" customHeight="1" x14ac:dyDescent="0.3">
      <c r="A466" s="28">
        <v>32</v>
      </c>
      <c r="B466" s="29">
        <v>7.19</v>
      </c>
      <c r="C466" s="31">
        <v>48.4</v>
      </c>
      <c r="D466" s="28" t="s">
        <v>9</v>
      </c>
      <c r="E466" s="34">
        <f t="shared" si="7"/>
        <v>1.2202894809029746E-3</v>
      </c>
    </row>
    <row r="467" spans="1:5" ht="15.75" customHeight="1" x14ac:dyDescent="0.3">
      <c r="A467" s="28">
        <v>16</v>
      </c>
      <c r="B467" s="29">
        <v>5.22</v>
      </c>
      <c r="C467" s="31">
        <v>48.26</v>
      </c>
      <c r="D467" s="28" t="s">
        <v>8</v>
      </c>
      <c r="E467" s="34">
        <f t="shared" si="7"/>
        <v>1.216759717941685E-3</v>
      </c>
    </row>
    <row r="468" spans="1:5" ht="15.75" customHeight="1" x14ac:dyDescent="0.3">
      <c r="A468" s="28">
        <v>39</v>
      </c>
      <c r="B468" s="29">
        <v>7.07</v>
      </c>
      <c r="C468" s="31">
        <v>48.18</v>
      </c>
      <c r="D468" s="28" t="s">
        <v>9</v>
      </c>
      <c r="E468" s="34">
        <f t="shared" si="7"/>
        <v>1.2147427105352339E-3</v>
      </c>
    </row>
    <row r="469" spans="1:5" ht="15.75" customHeight="1" x14ac:dyDescent="0.3">
      <c r="A469" s="28">
        <v>25</v>
      </c>
      <c r="B469" s="29">
        <v>2.4</v>
      </c>
      <c r="C469" s="31">
        <v>48.14</v>
      </c>
      <c r="D469" s="28" t="s">
        <v>9</v>
      </c>
      <c r="E469" s="34">
        <f t="shared" si="7"/>
        <v>1.2137342068320083E-3</v>
      </c>
    </row>
    <row r="470" spans="1:5" ht="15.75" customHeight="1" x14ac:dyDescent="0.3">
      <c r="A470" s="28">
        <v>10</v>
      </c>
      <c r="B470" s="29">
        <v>6.96</v>
      </c>
      <c r="C470" s="31">
        <v>47.98</v>
      </c>
      <c r="D470" s="28" t="s">
        <v>9</v>
      </c>
      <c r="E470" s="34">
        <f t="shared" si="7"/>
        <v>1.2097001920191059E-3</v>
      </c>
    </row>
    <row r="471" spans="1:5" ht="15.75" customHeight="1" x14ac:dyDescent="0.3">
      <c r="A471" s="28">
        <v>7</v>
      </c>
      <c r="B471" s="29">
        <v>9.5</v>
      </c>
      <c r="C471" s="31">
        <v>47.91</v>
      </c>
      <c r="D471" s="28" t="s">
        <v>9</v>
      </c>
      <c r="E471" s="34">
        <f t="shared" si="7"/>
        <v>1.2079353105384611E-3</v>
      </c>
    </row>
    <row r="472" spans="1:5" ht="15.75" customHeight="1" x14ac:dyDescent="0.3">
      <c r="A472" s="28">
        <v>49</v>
      </c>
      <c r="B472" s="29">
        <v>7.37</v>
      </c>
      <c r="C472" s="31">
        <v>47.75</v>
      </c>
      <c r="D472" s="28" t="s">
        <v>9</v>
      </c>
      <c r="E472" s="34">
        <f t="shared" si="7"/>
        <v>1.2039012957255587E-3</v>
      </c>
    </row>
    <row r="473" spans="1:5" ht="15.75" customHeight="1" x14ac:dyDescent="0.3">
      <c r="A473" s="28">
        <v>24</v>
      </c>
      <c r="B473" s="29">
        <v>4.05</v>
      </c>
      <c r="C473" s="31">
        <v>47.74</v>
      </c>
      <c r="D473" s="28" t="s">
        <v>8</v>
      </c>
      <c r="E473" s="34">
        <f t="shared" si="7"/>
        <v>1.2036491697997524E-3</v>
      </c>
    </row>
    <row r="474" spans="1:5" ht="15.75" customHeight="1" x14ac:dyDescent="0.3">
      <c r="A474" s="28">
        <v>9</v>
      </c>
      <c r="B474" s="29">
        <v>6.7</v>
      </c>
      <c r="C474" s="31">
        <v>47.74</v>
      </c>
      <c r="D474" s="28" t="s">
        <v>9</v>
      </c>
      <c r="E474" s="34">
        <f t="shared" si="7"/>
        <v>1.2036491697997524E-3</v>
      </c>
    </row>
    <row r="475" spans="1:5" ht="15.75" customHeight="1" x14ac:dyDescent="0.3">
      <c r="A475" s="28">
        <v>35</v>
      </c>
      <c r="B475" s="29">
        <v>6.33</v>
      </c>
      <c r="C475" s="31">
        <v>47.69</v>
      </c>
      <c r="D475" s="28" t="s">
        <v>9</v>
      </c>
      <c r="E475" s="34">
        <f t="shared" si="7"/>
        <v>1.2023885401707202E-3</v>
      </c>
    </row>
    <row r="476" spans="1:5" ht="15.75" customHeight="1" x14ac:dyDescent="0.3">
      <c r="A476" s="28">
        <v>11</v>
      </c>
      <c r="B476" s="29">
        <v>5.46</v>
      </c>
      <c r="C476" s="31">
        <v>47.61</v>
      </c>
      <c r="D476" s="28" t="s">
        <v>8</v>
      </c>
      <c r="E476" s="34">
        <f t="shared" si="7"/>
        <v>1.2003715327642691E-3</v>
      </c>
    </row>
    <row r="477" spans="1:5" ht="15.75" customHeight="1" x14ac:dyDescent="0.3">
      <c r="A477" s="28">
        <v>9</v>
      </c>
      <c r="B477" s="29">
        <v>5.68</v>
      </c>
      <c r="C477" s="31">
        <v>47.5</v>
      </c>
      <c r="D477" s="28" t="s">
        <v>9</v>
      </c>
      <c r="E477" s="34">
        <f t="shared" si="7"/>
        <v>1.1975981475803987E-3</v>
      </c>
    </row>
    <row r="478" spans="1:5" ht="15.75" customHeight="1" x14ac:dyDescent="0.3">
      <c r="A478" s="28">
        <v>15</v>
      </c>
      <c r="B478" s="29">
        <v>8.98</v>
      </c>
      <c r="C478" s="31">
        <v>47.37</v>
      </c>
      <c r="D478" s="28" t="s">
        <v>9</v>
      </c>
      <c r="E478" s="34">
        <f t="shared" si="7"/>
        <v>1.1943205105449156E-3</v>
      </c>
    </row>
    <row r="479" spans="1:5" ht="15.75" customHeight="1" x14ac:dyDescent="0.3">
      <c r="A479" s="28">
        <v>26</v>
      </c>
      <c r="B479" s="29">
        <v>8.91</v>
      </c>
      <c r="C479" s="31">
        <v>47.3</v>
      </c>
      <c r="D479" s="28" t="s">
        <v>9</v>
      </c>
      <c r="E479" s="34">
        <f t="shared" si="7"/>
        <v>1.1925556290642706E-3</v>
      </c>
    </row>
    <row r="480" spans="1:5" ht="15.75" customHeight="1" x14ac:dyDescent="0.3">
      <c r="A480" s="28">
        <v>19</v>
      </c>
      <c r="B480" s="29">
        <v>5.0999999999999996</v>
      </c>
      <c r="C480" s="31">
        <v>47.22</v>
      </c>
      <c r="D480" s="28" t="s">
        <v>8</v>
      </c>
      <c r="E480" s="34">
        <f t="shared" si="7"/>
        <v>1.1905386216578195E-3</v>
      </c>
    </row>
    <row r="481" spans="1:5" ht="15.75" customHeight="1" x14ac:dyDescent="0.3">
      <c r="A481" s="28">
        <v>42</v>
      </c>
      <c r="B481" s="29">
        <v>5.61</v>
      </c>
      <c r="C481" s="31">
        <v>47.22</v>
      </c>
      <c r="D481" s="28" t="s">
        <v>9</v>
      </c>
      <c r="E481" s="34">
        <f t="shared" si="7"/>
        <v>1.1905386216578195E-3</v>
      </c>
    </row>
    <row r="482" spans="1:5" ht="15.75" customHeight="1" x14ac:dyDescent="0.3">
      <c r="A482" s="28">
        <v>3</v>
      </c>
      <c r="B482" s="29">
        <v>5.44</v>
      </c>
      <c r="C482" s="31">
        <v>47.04</v>
      </c>
      <c r="D482" s="28" t="s">
        <v>9</v>
      </c>
      <c r="E482" s="34">
        <f t="shared" si="7"/>
        <v>1.1860003549933043E-3</v>
      </c>
    </row>
    <row r="483" spans="1:5" ht="15.75" customHeight="1" x14ac:dyDescent="0.3">
      <c r="A483" s="28">
        <v>1</v>
      </c>
      <c r="B483" s="29">
        <v>4.5599999999999996</v>
      </c>
      <c r="C483" s="31">
        <v>46.9</v>
      </c>
      <c r="D483" s="28" t="s">
        <v>8</v>
      </c>
      <c r="E483" s="34">
        <f t="shared" si="7"/>
        <v>1.1824705920320147E-3</v>
      </c>
    </row>
    <row r="484" spans="1:5" ht="15.75" customHeight="1" x14ac:dyDescent="0.3">
      <c r="A484" s="28">
        <v>41</v>
      </c>
      <c r="B484" s="29">
        <v>5.14</v>
      </c>
      <c r="C484" s="31">
        <v>46.8</v>
      </c>
      <c r="D484" s="28" t="s">
        <v>8</v>
      </c>
      <c r="E484" s="34">
        <f t="shared" si="7"/>
        <v>1.1799493327739508E-3</v>
      </c>
    </row>
    <row r="485" spans="1:5" ht="15.75" customHeight="1" x14ac:dyDescent="0.3">
      <c r="A485" s="28">
        <v>28</v>
      </c>
      <c r="B485" s="29">
        <v>5.29</v>
      </c>
      <c r="C485" s="31">
        <v>46.77</v>
      </c>
      <c r="D485" s="28" t="s">
        <v>8</v>
      </c>
      <c r="E485" s="34">
        <f t="shared" si="7"/>
        <v>1.1791929549965316E-3</v>
      </c>
    </row>
    <row r="486" spans="1:5" ht="15.75" customHeight="1" x14ac:dyDescent="0.3">
      <c r="A486" s="28">
        <v>36</v>
      </c>
      <c r="B486" s="29">
        <v>5.77</v>
      </c>
      <c r="C486" s="31">
        <v>46.76</v>
      </c>
      <c r="D486" s="28" t="s">
        <v>8</v>
      </c>
      <c r="E486" s="34">
        <f t="shared" si="7"/>
        <v>1.1789408290707251E-3</v>
      </c>
    </row>
    <row r="487" spans="1:5" ht="15.75" customHeight="1" x14ac:dyDescent="0.3">
      <c r="A487" s="28">
        <v>39</v>
      </c>
      <c r="B487" s="29">
        <v>5.38</v>
      </c>
      <c r="C487" s="31">
        <v>46.56</v>
      </c>
      <c r="D487" s="28" t="s">
        <v>8</v>
      </c>
      <c r="E487" s="34">
        <f t="shared" si="7"/>
        <v>1.1738983105545973E-3</v>
      </c>
    </row>
    <row r="488" spans="1:5" ht="15.75" customHeight="1" x14ac:dyDescent="0.3">
      <c r="A488" s="28">
        <v>30</v>
      </c>
      <c r="B488" s="29">
        <v>8.27</v>
      </c>
      <c r="C488" s="31">
        <v>46.56</v>
      </c>
      <c r="D488" s="28" t="s">
        <v>9</v>
      </c>
      <c r="E488" s="34">
        <f t="shared" si="7"/>
        <v>1.1738983105545973E-3</v>
      </c>
    </row>
    <row r="489" spans="1:5" ht="15.75" customHeight="1" x14ac:dyDescent="0.3">
      <c r="A489" s="28">
        <v>35</v>
      </c>
      <c r="B489" s="29">
        <v>4.88</v>
      </c>
      <c r="C489" s="31">
        <v>46.33</v>
      </c>
      <c r="D489" s="28" t="s">
        <v>8</v>
      </c>
      <c r="E489" s="34">
        <f t="shared" si="7"/>
        <v>1.1680994142610499E-3</v>
      </c>
    </row>
    <row r="490" spans="1:5" ht="15.75" customHeight="1" x14ac:dyDescent="0.3">
      <c r="A490" s="28">
        <v>60</v>
      </c>
      <c r="B490" s="29">
        <v>4.6900000000000004</v>
      </c>
      <c r="C490" s="31">
        <v>46.24</v>
      </c>
      <c r="D490" s="28" t="s">
        <v>8</v>
      </c>
      <c r="E490" s="34">
        <f t="shared" si="7"/>
        <v>1.1658302809287925E-3</v>
      </c>
    </row>
    <row r="491" spans="1:5" ht="15.75" customHeight="1" x14ac:dyDescent="0.3">
      <c r="A491" s="28">
        <v>8</v>
      </c>
      <c r="B491" s="29">
        <v>5.64</v>
      </c>
      <c r="C491" s="31">
        <v>46.17</v>
      </c>
      <c r="D491" s="28" t="s">
        <v>8</v>
      </c>
      <c r="E491" s="34">
        <f t="shared" si="7"/>
        <v>1.1640653994481477E-3</v>
      </c>
    </row>
    <row r="492" spans="1:5" ht="15.75" customHeight="1" x14ac:dyDescent="0.3">
      <c r="A492" s="28">
        <v>12</v>
      </c>
      <c r="B492" s="29">
        <v>4.5199999999999996</v>
      </c>
      <c r="C492" s="31">
        <v>45.92</v>
      </c>
      <c r="D492" s="28" t="s">
        <v>8</v>
      </c>
      <c r="E492" s="34">
        <f t="shared" si="7"/>
        <v>1.1577622513029876E-3</v>
      </c>
    </row>
    <row r="493" spans="1:5" ht="15.75" customHeight="1" x14ac:dyDescent="0.3">
      <c r="A493" s="28">
        <v>25</v>
      </c>
      <c r="B493" s="29">
        <v>4.57</v>
      </c>
      <c r="C493" s="31">
        <v>45.88</v>
      </c>
      <c r="D493" s="28" t="s">
        <v>9</v>
      </c>
      <c r="E493" s="34">
        <f t="shared" si="7"/>
        <v>1.156753747599762E-3</v>
      </c>
    </row>
    <row r="494" spans="1:5" ht="15.75" customHeight="1" x14ac:dyDescent="0.3">
      <c r="A494" s="28">
        <v>22</v>
      </c>
      <c r="B494" s="29">
        <v>4.1500000000000004</v>
      </c>
      <c r="C494" s="31">
        <v>45.83</v>
      </c>
      <c r="D494" s="28" t="s">
        <v>8</v>
      </c>
      <c r="E494" s="34">
        <f t="shared" si="7"/>
        <v>1.15549311797073E-3</v>
      </c>
    </row>
    <row r="495" spans="1:5" ht="15.75" customHeight="1" x14ac:dyDescent="0.3">
      <c r="A495" s="28">
        <v>17</v>
      </c>
      <c r="B495" s="29">
        <v>10.199999999999999</v>
      </c>
      <c r="C495" s="31">
        <v>45.79</v>
      </c>
      <c r="D495" s="28" t="s">
        <v>9</v>
      </c>
      <c r="E495" s="34">
        <f t="shared" si="7"/>
        <v>1.1544846142675044E-3</v>
      </c>
    </row>
    <row r="496" spans="1:5" ht="15.75" customHeight="1" x14ac:dyDescent="0.3">
      <c r="A496" s="28">
        <v>9</v>
      </c>
      <c r="B496" s="29">
        <v>5.47</v>
      </c>
      <c r="C496" s="31">
        <v>45.76</v>
      </c>
      <c r="D496" s="28" t="s">
        <v>8</v>
      </c>
      <c r="E496" s="34">
        <f t="shared" si="7"/>
        <v>1.1537282364900852E-3</v>
      </c>
    </row>
    <row r="497" spans="1:5" ht="15.75" customHeight="1" x14ac:dyDescent="0.3">
      <c r="A497" s="28">
        <v>36</v>
      </c>
      <c r="B497" s="29">
        <v>4.24</v>
      </c>
      <c r="C497" s="31">
        <v>45.75</v>
      </c>
      <c r="D497" s="28" t="s">
        <v>8</v>
      </c>
      <c r="E497" s="34">
        <f t="shared" si="7"/>
        <v>1.1534761105642787E-3</v>
      </c>
    </row>
    <row r="498" spans="1:5" ht="15.75" customHeight="1" x14ac:dyDescent="0.3">
      <c r="A498" s="28">
        <v>20</v>
      </c>
      <c r="B498" s="29">
        <v>6.41</v>
      </c>
      <c r="C498" s="31">
        <v>45.66</v>
      </c>
      <c r="D498" s="28" t="s">
        <v>8</v>
      </c>
      <c r="E498" s="34">
        <f t="shared" si="7"/>
        <v>1.1512069772320211E-3</v>
      </c>
    </row>
    <row r="499" spans="1:5" ht="15.75" customHeight="1" x14ac:dyDescent="0.3">
      <c r="A499" s="28">
        <v>22</v>
      </c>
      <c r="B499" s="29">
        <v>5.05</v>
      </c>
      <c r="C499" s="31">
        <v>45.65</v>
      </c>
      <c r="D499" s="28" t="s">
        <v>9</v>
      </c>
      <c r="E499" s="34">
        <f t="shared" si="7"/>
        <v>1.1509548513062148E-3</v>
      </c>
    </row>
    <row r="500" spans="1:5" ht="15.75" customHeight="1" x14ac:dyDescent="0.3">
      <c r="A500" s="28">
        <v>27</v>
      </c>
      <c r="B500" s="29">
        <v>4.84</v>
      </c>
      <c r="C500" s="31">
        <v>45.31</v>
      </c>
      <c r="D500" s="28" t="s">
        <v>8</v>
      </c>
      <c r="E500" s="34">
        <f t="shared" si="7"/>
        <v>1.1423825698287974E-3</v>
      </c>
    </row>
    <row r="501" spans="1:5" ht="15.75" customHeight="1" x14ac:dyDescent="0.3">
      <c r="A501" s="28">
        <v>38</v>
      </c>
      <c r="B501" s="29">
        <v>6.02</v>
      </c>
      <c r="C501" s="31">
        <v>45.03</v>
      </c>
      <c r="D501" s="28" t="s">
        <v>9</v>
      </c>
      <c r="E501" s="34">
        <f t="shared" si="7"/>
        <v>1.135323043906218E-3</v>
      </c>
    </row>
    <row r="502" spans="1:5" ht="15.75" customHeight="1" x14ac:dyDescent="0.3">
      <c r="A502" s="28">
        <v>10</v>
      </c>
      <c r="B502" s="29">
        <v>5.93</v>
      </c>
      <c r="C502" s="31">
        <v>44.95</v>
      </c>
      <c r="D502" s="28" t="s">
        <v>9</v>
      </c>
      <c r="E502" s="34">
        <f t="shared" si="7"/>
        <v>1.1333060364997669E-3</v>
      </c>
    </row>
    <row r="503" spans="1:5" ht="15.75" customHeight="1" x14ac:dyDescent="0.3">
      <c r="A503" s="28">
        <v>25</v>
      </c>
      <c r="B503" s="29">
        <v>3.8</v>
      </c>
      <c r="C503" s="31">
        <v>44.87</v>
      </c>
      <c r="D503" s="28" t="s">
        <v>9</v>
      </c>
      <c r="E503" s="34">
        <f t="shared" si="7"/>
        <v>1.1312890290933156E-3</v>
      </c>
    </row>
    <row r="504" spans="1:5" ht="15.75" customHeight="1" x14ac:dyDescent="0.3">
      <c r="A504" s="28">
        <v>51</v>
      </c>
      <c r="B504" s="29">
        <v>5.25</v>
      </c>
      <c r="C504" s="31">
        <v>44.82</v>
      </c>
      <c r="D504" s="28" t="s">
        <v>8</v>
      </c>
      <c r="E504" s="34">
        <f t="shared" si="7"/>
        <v>1.1300283994642836E-3</v>
      </c>
    </row>
    <row r="505" spans="1:5" ht="15.75" customHeight="1" x14ac:dyDescent="0.3">
      <c r="A505" s="28">
        <v>1</v>
      </c>
      <c r="B505" s="29">
        <v>6.73</v>
      </c>
      <c r="C505" s="31">
        <v>44.64</v>
      </c>
      <c r="D505" s="28" t="s">
        <v>9</v>
      </c>
      <c r="E505" s="34">
        <f t="shared" si="7"/>
        <v>1.1254901327997684E-3</v>
      </c>
    </row>
    <row r="506" spans="1:5" ht="15.75" customHeight="1" x14ac:dyDescent="0.3">
      <c r="A506" s="28">
        <v>28</v>
      </c>
      <c r="B506" s="29">
        <v>5.39</v>
      </c>
      <c r="C506" s="31">
        <v>44.63</v>
      </c>
      <c r="D506" s="28" t="s">
        <v>8</v>
      </c>
      <c r="E506" s="34">
        <f t="shared" si="7"/>
        <v>1.1252380068739621E-3</v>
      </c>
    </row>
    <row r="507" spans="1:5" ht="15.75" customHeight="1" x14ac:dyDescent="0.3">
      <c r="A507" s="28">
        <v>23</v>
      </c>
      <c r="B507" s="29">
        <v>5.41</v>
      </c>
      <c r="C507" s="31">
        <v>44.6</v>
      </c>
      <c r="D507" s="28" t="s">
        <v>8</v>
      </c>
      <c r="E507" s="34">
        <f t="shared" si="7"/>
        <v>1.124481629096543E-3</v>
      </c>
    </row>
    <row r="508" spans="1:5" ht="15.75" customHeight="1" x14ac:dyDescent="0.3">
      <c r="A508" s="28">
        <v>29</v>
      </c>
      <c r="B508" s="29">
        <v>5.47</v>
      </c>
      <c r="C508" s="31">
        <v>44.4</v>
      </c>
      <c r="D508" s="28" t="s">
        <v>8</v>
      </c>
      <c r="E508" s="34">
        <f t="shared" si="7"/>
        <v>1.1194391105804149E-3</v>
      </c>
    </row>
    <row r="509" spans="1:5" ht="15.75" customHeight="1" x14ac:dyDescent="0.3">
      <c r="A509" s="28">
        <v>38</v>
      </c>
      <c r="B509" s="29">
        <v>7.81</v>
      </c>
      <c r="C509" s="31">
        <v>44.39</v>
      </c>
      <c r="D509" s="28" t="s">
        <v>9</v>
      </c>
      <c r="E509" s="34">
        <f t="shared" si="7"/>
        <v>1.1191869846546084E-3</v>
      </c>
    </row>
    <row r="510" spans="1:5" ht="15.75" customHeight="1" x14ac:dyDescent="0.3">
      <c r="A510" s="28">
        <v>27</v>
      </c>
      <c r="B510" s="29">
        <v>4.7</v>
      </c>
      <c r="C510" s="31">
        <v>44.37</v>
      </c>
      <c r="D510" s="28" t="s">
        <v>8</v>
      </c>
      <c r="E510" s="34">
        <f t="shared" si="7"/>
        <v>1.1186827328029956E-3</v>
      </c>
    </row>
    <row r="511" spans="1:5" ht="15.75" customHeight="1" x14ac:dyDescent="0.3">
      <c r="A511" s="28">
        <v>21</v>
      </c>
      <c r="B511" s="29">
        <v>4.2</v>
      </c>
      <c r="C511" s="31">
        <v>44.29</v>
      </c>
      <c r="D511" s="28" t="s">
        <v>9</v>
      </c>
      <c r="E511" s="34">
        <f t="shared" si="7"/>
        <v>1.1166657253965445E-3</v>
      </c>
    </row>
    <row r="512" spans="1:5" ht="15.75" customHeight="1" x14ac:dyDescent="0.3">
      <c r="A512" s="28">
        <v>27</v>
      </c>
      <c r="B512" s="29">
        <v>6.5</v>
      </c>
      <c r="C512" s="31">
        <v>44.27</v>
      </c>
      <c r="D512" s="28" t="s">
        <v>9</v>
      </c>
      <c r="E512" s="34">
        <f t="shared" si="7"/>
        <v>1.1161614735449316E-3</v>
      </c>
    </row>
    <row r="513" spans="1:5" ht="15.75" customHeight="1" x14ac:dyDescent="0.3">
      <c r="A513" s="28">
        <v>45</v>
      </c>
      <c r="B513" s="29">
        <v>4.59</v>
      </c>
      <c r="C513" s="31">
        <v>44.25</v>
      </c>
      <c r="D513" s="28" t="s">
        <v>8</v>
      </c>
      <c r="E513" s="34">
        <f t="shared" si="7"/>
        <v>1.1156572216933188E-3</v>
      </c>
    </row>
    <row r="514" spans="1:5" ht="15.75" customHeight="1" x14ac:dyDescent="0.3">
      <c r="A514" s="28">
        <v>31</v>
      </c>
      <c r="B514" s="29">
        <v>4.55</v>
      </c>
      <c r="C514" s="31">
        <v>44.23</v>
      </c>
      <c r="D514" s="28" t="s">
        <v>8</v>
      </c>
      <c r="E514" s="34">
        <f t="shared" si="7"/>
        <v>1.115152969841706E-3</v>
      </c>
    </row>
    <row r="515" spans="1:5" ht="15.75" customHeight="1" x14ac:dyDescent="0.3">
      <c r="A515" s="28">
        <v>34</v>
      </c>
      <c r="B515" s="29">
        <v>4.03</v>
      </c>
      <c r="C515" s="31">
        <v>44.21</v>
      </c>
      <c r="D515" s="28" t="s">
        <v>8</v>
      </c>
      <c r="E515" s="34">
        <f t="shared" si="7"/>
        <v>1.1146487179900934E-3</v>
      </c>
    </row>
    <row r="516" spans="1:5" ht="15.75" customHeight="1" x14ac:dyDescent="0.3">
      <c r="A516" s="28">
        <v>54</v>
      </c>
      <c r="B516" s="29">
        <v>7.58</v>
      </c>
      <c r="C516" s="31">
        <v>44.09</v>
      </c>
      <c r="D516" s="28" t="s">
        <v>8</v>
      </c>
      <c r="E516" s="34">
        <f t="shared" si="7"/>
        <v>1.1116232068804166E-3</v>
      </c>
    </row>
    <row r="517" spans="1:5" ht="15.75" customHeight="1" x14ac:dyDescent="0.3">
      <c r="A517" s="28">
        <v>30</v>
      </c>
      <c r="B517" s="29">
        <v>4.93</v>
      </c>
      <c r="C517" s="31">
        <v>43.97</v>
      </c>
      <c r="D517" s="28" t="s">
        <v>8</v>
      </c>
      <c r="E517" s="34">
        <f t="shared" si="7"/>
        <v>1.1085976957707396E-3</v>
      </c>
    </row>
    <row r="518" spans="1:5" ht="15.75" customHeight="1" x14ac:dyDescent="0.3">
      <c r="A518" s="28">
        <v>22</v>
      </c>
      <c r="B518" s="29">
        <v>4.38</v>
      </c>
      <c r="C518" s="31">
        <v>43.95</v>
      </c>
      <c r="D518" s="28" t="s">
        <v>8</v>
      </c>
      <c r="E518" s="34">
        <f t="shared" si="7"/>
        <v>1.1080934439191268E-3</v>
      </c>
    </row>
    <row r="519" spans="1:5" ht="15.75" customHeight="1" x14ac:dyDescent="0.3">
      <c r="A519" s="28">
        <v>37</v>
      </c>
      <c r="B519" s="29">
        <v>8.6</v>
      </c>
      <c r="C519" s="31">
        <v>43.95</v>
      </c>
      <c r="D519" s="28" t="s">
        <v>8</v>
      </c>
      <c r="E519" s="34">
        <f t="shared" ref="E519:E582" si="8">C519/C$667</f>
        <v>1.1080934439191268E-3</v>
      </c>
    </row>
    <row r="520" spans="1:5" ht="15.75" customHeight="1" x14ac:dyDescent="0.3">
      <c r="A520" s="28">
        <v>13</v>
      </c>
      <c r="B520" s="29">
        <v>4.7699999999999996</v>
      </c>
      <c r="C520" s="31">
        <v>43.81</v>
      </c>
      <c r="D520" s="28" t="s">
        <v>9</v>
      </c>
      <c r="E520" s="34">
        <f t="shared" si="8"/>
        <v>1.1045636809578372E-3</v>
      </c>
    </row>
    <row r="521" spans="1:5" ht="15.75" customHeight="1" x14ac:dyDescent="0.3">
      <c r="A521" s="28">
        <v>21</v>
      </c>
      <c r="B521" s="29">
        <v>6.16</v>
      </c>
      <c r="C521" s="31">
        <v>43.75</v>
      </c>
      <c r="D521" s="28" t="s">
        <v>9</v>
      </c>
      <c r="E521" s="34">
        <f t="shared" si="8"/>
        <v>1.1030509254029988E-3</v>
      </c>
    </row>
    <row r="522" spans="1:5" ht="15.75" customHeight="1" x14ac:dyDescent="0.3">
      <c r="A522" s="28">
        <v>10</v>
      </c>
      <c r="B522" s="29">
        <v>4.26</v>
      </c>
      <c r="C522" s="31">
        <v>43.55</v>
      </c>
      <c r="D522" s="28" t="s">
        <v>9</v>
      </c>
      <c r="E522" s="34">
        <f t="shared" si="8"/>
        <v>1.0980084068868707E-3</v>
      </c>
    </row>
    <row r="523" spans="1:5" ht="15.75" customHeight="1" x14ac:dyDescent="0.3">
      <c r="A523" s="28">
        <v>14</v>
      </c>
      <c r="B523" s="29">
        <v>5.79</v>
      </c>
      <c r="C523" s="31">
        <v>43.41</v>
      </c>
      <c r="D523" s="28" t="s">
        <v>9</v>
      </c>
      <c r="E523" s="34">
        <f t="shared" si="8"/>
        <v>1.0944786439255811E-3</v>
      </c>
    </row>
    <row r="524" spans="1:5" ht="15.75" customHeight="1" x14ac:dyDescent="0.3">
      <c r="A524" s="28">
        <v>15</v>
      </c>
      <c r="B524" s="29">
        <v>5.35</v>
      </c>
      <c r="C524" s="31">
        <v>43.32</v>
      </c>
      <c r="D524" s="28" t="s">
        <v>9</v>
      </c>
      <c r="E524" s="34">
        <f t="shared" si="8"/>
        <v>1.0922095105933237E-3</v>
      </c>
    </row>
    <row r="525" spans="1:5" ht="15.75" customHeight="1" x14ac:dyDescent="0.3">
      <c r="A525" s="28">
        <v>37</v>
      </c>
      <c r="B525" s="29">
        <v>3.3</v>
      </c>
      <c r="C525" s="31">
        <v>43.28</v>
      </c>
      <c r="D525" s="28" t="s">
        <v>9</v>
      </c>
      <c r="E525" s="34">
        <f t="shared" si="8"/>
        <v>1.0912010068900981E-3</v>
      </c>
    </row>
    <row r="526" spans="1:5" ht="15.75" customHeight="1" x14ac:dyDescent="0.3">
      <c r="A526" s="28">
        <v>26</v>
      </c>
      <c r="B526" s="29">
        <v>2.6</v>
      </c>
      <c r="C526" s="31">
        <v>43.26</v>
      </c>
      <c r="D526" s="28" t="s">
        <v>9</v>
      </c>
      <c r="E526" s="34">
        <f t="shared" si="8"/>
        <v>1.0906967550384852E-3</v>
      </c>
    </row>
    <row r="527" spans="1:5" ht="15.75" customHeight="1" x14ac:dyDescent="0.3">
      <c r="A527" s="28">
        <v>43</v>
      </c>
      <c r="B527" s="29">
        <v>5.56</v>
      </c>
      <c r="C527" s="31">
        <v>43.2</v>
      </c>
      <c r="D527" s="28" t="s">
        <v>8</v>
      </c>
      <c r="E527" s="34">
        <f t="shared" si="8"/>
        <v>1.089183999483647E-3</v>
      </c>
    </row>
    <row r="528" spans="1:5" ht="15.75" customHeight="1" x14ac:dyDescent="0.3">
      <c r="A528" s="28">
        <v>38</v>
      </c>
      <c r="B528" s="29">
        <v>4.28</v>
      </c>
      <c r="C528" s="31">
        <v>43.18</v>
      </c>
      <c r="D528" s="28" t="s">
        <v>8</v>
      </c>
      <c r="E528" s="34">
        <f t="shared" si="8"/>
        <v>1.0886797476320341E-3</v>
      </c>
    </row>
    <row r="529" spans="1:5" ht="15.75" customHeight="1" x14ac:dyDescent="0.3">
      <c r="A529" s="28">
        <v>39</v>
      </c>
      <c r="B529" s="29">
        <v>2.1</v>
      </c>
      <c r="C529" s="31">
        <v>43.17</v>
      </c>
      <c r="D529" s="28" t="s">
        <v>9</v>
      </c>
      <c r="E529" s="34">
        <f t="shared" si="8"/>
        <v>1.0884276217062276E-3</v>
      </c>
    </row>
    <row r="530" spans="1:5" ht="15.75" customHeight="1" x14ac:dyDescent="0.3">
      <c r="A530" s="28">
        <v>10</v>
      </c>
      <c r="B530" s="29">
        <v>9.85</v>
      </c>
      <c r="C530" s="31">
        <v>42.98</v>
      </c>
      <c r="D530" s="28" t="s">
        <v>9</v>
      </c>
      <c r="E530" s="34">
        <f t="shared" si="8"/>
        <v>1.0836372291159061E-3</v>
      </c>
    </row>
    <row r="531" spans="1:5" ht="15.75" customHeight="1" x14ac:dyDescent="0.3">
      <c r="A531" s="28">
        <v>25</v>
      </c>
      <c r="B531" s="29">
        <v>4.99</v>
      </c>
      <c r="C531" s="31">
        <v>42.91</v>
      </c>
      <c r="D531" s="28" t="s">
        <v>9</v>
      </c>
      <c r="E531" s="34">
        <f t="shared" si="8"/>
        <v>1.0818723476352613E-3</v>
      </c>
    </row>
    <row r="532" spans="1:5" ht="15.75" customHeight="1" x14ac:dyDescent="0.3">
      <c r="A532" s="28">
        <v>30</v>
      </c>
      <c r="B532" s="29">
        <v>8.6</v>
      </c>
      <c r="C532" s="31">
        <v>42.69</v>
      </c>
      <c r="D532" s="28" t="s">
        <v>9</v>
      </c>
      <c r="E532" s="34">
        <f t="shared" si="8"/>
        <v>1.0763255772675204E-3</v>
      </c>
    </row>
    <row r="533" spans="1:5" ht="15.75" customHeight="1" x14ac:dyDescent="0.3">
      <c r="A533" s="28">
        <v>18</v>
      </c>
      <c r="B533" s="29">
        <v>2.6</v>
      </c>
      <c r="C533" s="31">
        <v>42.51</v>
      </c>
      <c r="D533" s="28" t="s">
        <v>9</v>
      </c>
      <c r="E533" s="34">
        <f t="shared" si="8"/>
        <v>1.0717873106030052E-3</v>
      </c>
    </row>
    <row r="534" spans="1:5" ht="15.75" customHeight="1" x14ac:dyDescent="0.3">
      <c r="A534" s="28">
        <v>17</v>
      </c>
      <c r="B534" s="29">
        <v>5.24</v>
      </c>
      <c r="C534" s="31">
        <v>42.46</v>
      </c>
      <c r="D534" s="28" t="s">
        <v>9</v>
      </c>
      <c r="E534" s="34">
        <f t="shared" si="8"/>
        <v>1.0705266809739732E-3</v>
      </c>
    </row>
    <row r="535" spans="1:5" ht="15.75" customHeight="1" x14ac:dyDescent="0.3">
      <c r="A535" s="28">
        <v>59</v>
      </c>
      <c r="B535" s="29">
        <v>8.5399999999999991</v>
      </c>
      <c r="C535" s="31">
        <v>42.33</v>
      </c>
      <c r="D535" s="28" t="s">
        <v>8</v>
      </c>
      <c r="E535" s="34">
        <f t="shared" si="8"/>
        <v>1.0672490439384901E-3</v>
      </c>
    </row>
    <row r="536" spans="1:5" ht="15.75" customHeight="1" x14ac:dyDescent="0.3">
      <c r="A536" s="28">
        <v>43</v>
      </c>
      <c r="B536" s="29">
        <v>6.23</v>
      </c>
      <c r="C536" s="31">
        <v>42.26</v>
      </c>
      <c r="D536" s="28" t="s">
        <v>9</v>
      </c>
      <c r="E536" s="34">
        <f t="shared" si="8"/>
        <v>1.0654841624578451E-3</v>
      </c>
    </row>
    <row r="537" spans="1:5" ht="15.75" customHeight="1" x14ac:dyDescent="0.3">
      <c r="A537" s="28">
        <v>42</v>
      </c>
      <c r="B537" s="29">
        <v>8.68</v>
      </c>
      <c r="C537" s="31">
        <v>42.13</v>
      </c>
      <c r="D537" s="28" t="s">
        <v>9</v>
      </c>
      <c r="E537" s="34">
        <f t="shared" si="8"/>
        <v>1.0622065254223621E-3</v>
      </c>
    </row>
    <row r="538" spans="1:5" ht="15.75" customHeight="1" x14ac:dyDescent="0.3">
      <c r="A538" s="28">
        <v>30</v>
      </c>
      <c r="B538" s="29">
        <v>4.54</v>
      </c>
      <c r="C538" s="31">
        <v>42.01</v>
      </c>
      <c r="D538" s="28" t="s">
        <v>8</v>
      </c>
      <c r="E538" s="34">
        <f t="shared" si="8"/>
        <v>1.0591810143126853E-3</v>
      </c>
    </row>
    <row r="539" spans="1:5" ht="15.75" customHeight="1" x14ac:dyDescent="0.3">
      <c r="A539" s="28">
        <v>38</v>
      </c>
      <c r="B539" s="29">
        <v>5.5</v>
      </c>
      <c r="C539" s="31">
        <v>42.01</v>
      </c>
      <c r="D539" s="28" t="s">
        <v>8</v>
      </c>
      <c r="E539" s="34">
        <f t="shared" si="8"/>
        <v>1.0591810143126853E-3</v>
      </c>
    </row>
    <row r="540" spans="1:5" ht="15.75" customHeight="1" x14ac:dyDescent="0.3">
      <c r="A540" s="28">
        <v>36</v>
      </c>
      <c r="B540" s="29">
        <v>7.25</v>
      </c>
      <c r="C540" s="31">
        <v>42.01</v>
      </c>
      <c r="D540" s="28" t="s">
        <v>9</v>
      </c>
      <c r="E540" s="34">
        <f t="shared" si="8"/>
        <v>1.0591810143126853E-3</v>
      </c>
    </row>
    <row r="541" spans="1:5" ht="15.75" customHeight="1" x14ac:dyDescent="0.3">
      <c r="A541" s="28">
        <v>54</v>
      </c>
      <c r="B541" s="29">
        <v>4.32</v>
      </c>
      <c r="C541" s="31">
        <v>41.82</v>
      </c>
      <c r="D541" s="28" t="s">
        <v>8</v>
      </c>
      <c r="E541" s="34">
        <f t="shared" si="8"/>
        <v>1.0543906217223638E-3</v>
      </c>
    </row>
    <row r="542" spans="1:5" ht="15.75" customHeight="1" x14ac:dyDescent="0.3">
      <c r="A542" s="28">
        <v>43</v>
      </c>
      <c r="B542" s="29">
        <v>5.03</v>
      </c>
      <c r="C542" s="31">
        <v>41.59</v>
      </c>
      <c r="D542" s="28" t="s">
        <v>8</v>
      </c>
      <c r="E542" s="34">
        <f t="shared" si="8"/>
        <v>1.0485917254288166E-3</v>
      </c>
    </row>
    <row r="543" spans="1:5" ht="15.75" customHeight="1" x14ac:dyDescent="0.3">
      <c r="A543" s="28">
        <v>29</v>
      </c>
      <c r="B543" s="29">
        <v>7.9</v>
      </c>
      <c r="C543" s="31">
        <v>41.49</v>
      </c>
      <c r="D543" s="28" t="s">
        <v>9</v>
      </c>
      <c r="E543" s="34">
        <f t="shared" si="8"/>
        <v>1.0460704661707525E-3</v>
      </c>
    </row>
    <row r="544" spans="1:5" ht="15.75" customHeight="1" x14ac:dyDescent="0.3">
      <c r="A544" s="28">
        <v>23</v>
      </c>
      <c r="B544" s="29">
        <v>4.6100000000000003</v>
      </c>
      <c r="C544" s="31">
        <v>41.34</v>
      </c>
      <c r="D544" s="28" t="s">
        <v>9</v>
      </c>
      <c r="E544" s="34">
        <f t="shared" si="8"/>
        <v>1.0422885772836566E-3</v>
      </c>
    </row>
    <row r="545" spans="1:5" ht="15.75" customHeight="1" x14ac:dyDescent="0.3">
      <c r="A545" s="28">
        <v>42</v>
      </c>
      <c r="B545" s="29">
        <v>3.3</v>
      </c>
      <c r="C545" s="31">
        <v>41.24</v>
      </c>
      <c r="D545" s="28" t="s">
        <v>9</v>
      </c>
      <c r="E545" s="34">
        <f t="shared" si="8"/>
        <v>1.0397673180255927E-3</v>
      </c>
    </row>
    <row r="546" spans="1:5" ht="15.75" customHeight="1" x14ac:dyDescent="0.3">
      <c r="A546" s="28">
        <v>20</v>
      </c>
      <c r="B546" s="29">
        <v>8.35</v>
      </c>
      <c r="C546" s="31">
        <v>41.23</v>
      </c>
      <c r="D546" s="28" t="s">
        <v>9</v>
      </c>
      <c r="E546" s="34">
        <f t="shared" si="8"/>
        <v>1.0395151920997861E-3</v>
      </c>
    </row>
    <row r="547" spans="1:5" ht="15.75" customHeight="1" x14ac:dyDescent="0.3">
      <c r="A547" s="28">
        <v>17</v>
      </c>
      <c r="B547" s="29">
        <v>5.35</v>
      </c>
      <c r="C547" s="31">
        <v>40.880000000000003</v>
      </c>
      <c r="D547" s="28" t="s">
        <v>8</v>
      </c>
      <c r="E547" s="34">
        <f t="shared" si="8"/>
        <v>1.0306907846965622E-3</v>
      </c>
    </row>
    <row r="548" spans="1:5" ht="15.75" customHeight="1" x14ac:dyDescent="0.3">
      <c r="A548" s="28">
        <v>38</v>
      </c>
      <c r="B548" s="29">
        <v>4.57</v>
      </c>
      <c r="C548" s="31">
        <v>40.86</v>
      </c>
      <c r="D548" s="28" t="s">
        <v>8</v>
      </c>
      <c r="E548" s="34">
        <f t="shared" si="8"/>
        <v>1.0301865328449494E-3</v>
      </c>
    </row>
    <row r="549" spans="1:5" ht="15.75" customHeight="1" x14ac:dyDescent="0.3">
      <c r="A549" s="28">
        <v>4</v>
      </c>
      <c r="B549" s="29">
        <v>7.06</v>
      </c>
      <c r="C549" s="31">
        <v>40.79</v>
      </c>
      <c r="D549" s="28" t="s">
        <v>9</v>
      </c>
      <c r="E549" s="34">
        <f t="shared" si="8"/>
        <v>1.0284216513643046E-3</v>
      </c>
    </row>
    <row r="550" spans="1:5" ht="15.75" customHeight="1" x14ac:dyDescent="0.3">
      <c r="A550" s="28">
        <v>47</v>
      </c>
      <c r="B550" s="29">
        <v>5.23</v>
      </c>
      <c r="C550" s="31">
        <v>40.19</v>
      </c>
      <c r="D550" s="28" t="s">
        <v>8</v>
      </c>
      <c r="E550" s="34">
        <f t="shared" si="8"/>
        <v>1.0132940958159204E-3</v>
      </c>
    </row>
    <row r="551" spans="1:5" ht="15.75" customHeight="1" x14ac:dyDescent="0.3">
      <c r="A551" s="28">
        <v>7</v>
      </c>
      <c r="B551" s="29">
        <v>5.84</v>
      </c>
      <c r="C551" s="31">
        <v>40.15</v>
      </c>
      <c r="D551" s="28" t="s">
        <v>9</v>
      </c>
      <c r="E551" s="34">
        <f t="shared" si="8"/>
        <v>1.012285592112695E-3</v>
      </c>
    </row>
    <row r="552" spans="1:5" ht="15.75" customHeight="1" x14ac:dyDescent="0.3">
      <c r="A552" s="28">
        <v>36</v>
      </c>
      <c r="B552" s="29">
        <v>6.71</v>
      </c>
      <c r="C552" s="31">
        <v>40.14</v>
      </c>
      <c r="D552" s="28" t="s">
        <v>9</v>
      </c>
      <c r="E552" s="34">
        <f t="shared" si="8"/>
        <v>1.0120334661868886E-3</v>
      </c>
    </row>
    <row r="553" spans="1:5" ht="15.75" customHeight="1" x14ac:dyDescent="0.3">
      <c r="A553" s="28">
        <v>36</v>
      </c>
      <c r="B553" s="29">
        <v>5.2</v>
      </c>
      <c r="C553" s="31">
        <v>39.99</v>
      </c>
      <c r="D553" s="28" t="s">
        <v>8</v>
      </c>
      <c r="E553" s="34">
        <f t="shared" si="8"/>
        <v>1.0082515772997925E-3</v>
      </c>
    </row>
    <row r="554" spans="1:5" ht="15.75" customHeight="1" x14ac:dyDescent="0.3">
      <c r="A554" s="28">
        <v>31</v>
      </c>
      <c r="B554" s="29">
        <v>4.83</v>
      </c>
      <c r="C554" s="31">
        <v>39.82</v>
      </c>
      <c r="D554" s="28" t="s">
        <v>9</v>
      </c>
      <c r="E554" s="34">
        <f t="shared" si="8"/>
        <v>1.0039654365610838E-3</v>
      </c>
    </row>
    <row r="555" spans="1:5" ht="15.75" customHeight="1" x14ac:dyDescent="0.3">
      <c r="A555" s="28">
        <v>5</v>
      </c>
      <c r="B555" s="29">
        <v>5.43</v>
      </c>
      <c r="C555" s="31">
        <v>39.72</v>
      </c>
      <c r="D555" s="28" t="s">
        <v>8</v>
      </c>
      <c r="E555" s="34">
        <f t="shared" si="8"/>
        <v>1.0014441773030197E-3</v>
      </c>
    </row>
    <row r="556" spans="1:5" ht="15.75" customHeight="1" x14ac:dyDescent="0.3">
      <c r="A556" s="28">
        <v>23</v>
      </c>
      <c r="B556" s="29">
        <v>4.17</v>
      </c>
      <c r="C556" s="31">
        <v>39.58</v>
      </c>
      <c r="D556" s="28" t="s">
        <v>8</v>
      </c>
      <c r="E556" s="34">
        <f t="shared" si="8"/>
        <v>9.9791441434173012E-4</v>
      </c>
    </row>
    <row r="557" spans="1:5" ht="15.75" customHeight="1" x14ac:dyDescent="0.3">
      <c r="A557" s="28">
        <v>37</v>
      </c>
      <c r="B557" s="29">
        <v>2.2999999999999998</v>
      </c>
      <c r="C557" s="31">
        <v>39.54</v>
      </c>
      <c r="D557" s="28" t="s">
        <v>9</v>
      </c>
      <c r="E557" s="34">
        <f t="shared" si="8"/>
        <v>9.9690591063850446E-4</v>
      </c>
    </row>
    <row r="558" spans="1:5" ht="15.75" customHeight="1" x14ac:dyDescent="0.3">
      <c r="A558" s="28">
        <v>63</v>
      </c>
      <c r="B558" s="29">
        <v>8.5500000000000007</v>
      </c>
      <c r="C558" s="31">
        <v>39.17</v>
      </c>
      <c r="D558" s="28" t="s">
        <v>8</v>
      </c>
      <c r="E558" s="34">
        <f t="shared" si="8"/>
        <v>9.875772513836679E-4</v>
      </c>
    </row>
    <row r="559" spans="1:5" ht="15.75" customHeight="1" x14ac:dyDescent="0.3">
      <c r="A559" s="28">
        <v>6</v>
      </c>
      <c r="B559" s="29">
        <v>2.5</v>
      </c>
      <c r="C559" s="31">
        <v>38.9</v>
      </c>
      <c r="D559" s="28" t="s">
        <v>9</v>
      </c>
      <c r="E559" s="34">
        <f t="shared" si="8"/>
        <v>9.8076985138689505E-4</v>
      </c>
    </row>
    <row r="560" spans="1:5" ht="15.75" customHeight="1" x14ac:dyDescent="0.3">
      <c r="A560" s="28">
        <v>38</v>
      </c>
      <c r="B560" s="29">
        <v>4.92</v>
      </c>
      <c r="C560" s="31">
        <v>38.86</v>
      </c>
      <c r="D560" s="28" t="s">
        <v>9</v>
      </c>
      <c r="E560" s="34">
        <f t="shared" si="8"/>
        <v>9.797613476836694E-4</v>
      </c>
    </row>
    <row r="561" spans="1:5" ht="15.75" customHeight="1" x14ac:dyDescent="0.3">
      <c r="A561" s="28">
        <v>24</v>
      </c>
      <c r="B561" s="29">
        <v>4.66</v>
      </c>
      <c r="C561" s="31">
        <v>38.69</v>
      </c>
      <c r="D561" s="28" t="s">
        <v>8</v>
      </c>
      <c r="E561" s="34">
        <f t="shared" si="8"/>
        <v>9.7547520694496058E-4</v>
      </c>
    </row>
    <row r="562" spans="1:5" ht="15.75" customHeight="1" x14ac:dyDescent="0.3">
      <c r="A562" s="28">
        <v>27</v>
      </c>
      <c r="B562" s="29">
        <v>1.6</v>
      </c>
      <c r="C562" s="31">
        <v>38.61</v>
      </c>
      <c r="D562" s="28" t="s">
        <v>9</v>
      </c>
      <c r="E562" s="34">
        <f t="shared" si="8"/>
        <v>9.7345819953850938E-4</v>
      </c>
    </row>
    <row r="563" spans="1:5" ht="15.75" customHeight="1" x14ac:dyDescent="0.3">
      <c r="A563" s="28">
        <v>41</v>
      </c>
      <c r="B563" s="29">
        <v>4.6399999999999997</v>
      </c>
      <c r="C563" s="31">
        <v>38.450000000000003</v>
      </c>
      <c r="D563" s="28" t="s">
        <v>9</v>
      </c>
      <c r="E563" s="34">
        <f t="shared" si="8"/>
        <v>9.6942418472560708E-4</v>
      </c>
    </row>
    <row r="564" spans="1:5" ht="15.75" customHeight="1" x14ac:dyDescent="0.3">
      <c r="A564" s="28">
        <v>24</v>
      </c>
      <c r="B564" s="29">
        <v>4.4800000000000004</v>
      </c>
      <c r="C564" s="31">
        <v>38.24</v>
      </c>
      <c r="D564" s="28" t="s">
        <v>8</v>
      </c>
      <c r="E564" s="34">
        <f t="shared" si="8"/>
        <v>9.641295402836726E-4</v>
      </c>
    </row>
    <row r="565" spans="1:5" ht="15.75" customHeight="1" x14ac:dyDescent="0.3">
      <c r="A565" s="28">
        <v>67</v>
      </c>
      <c r="B565" s="29">
        <v>4.17</v>
      </c>
      <c r="C565" s="31">
        <v>38.17</v>
      </c>
      <c r="D565" s="28" t="s">
        <v>8</v>
      </c>
      <c r="E565" s="34">
        <f t="shared" si="8"/>
        <v>9.6236465880302781E-4</v>
      </c>
    </row>
    <row r="566" spans="1:5" ht="15.75" customHeight="1" x14ac:dyDescent="0.3">
      <c r="A566" s="28">
        <v>3</v>
      </c>
      <c r="B566" s="29">
        <v>5.0999999999999996</v>
      </c>
      <c r="C566" s="31">
        <v>38.1</v>
      </c>
      <c r="D566" s="28" t="s">
        <v>9</v>
      </c>
      <c r="E566" s="34">
        <f t="shared" si="8"/>
        <v>9.6059977732238302E-4</v>
      </c>
    </row>
    <row r="567" spans="1:5" ht="15.75" customHeight="1" x14ac:dyDescent="0.3">
      <c r="A567" s="28">
        <v>43</v>
      </c>
      <c r="B567" s="29">
        <v>7</v>
      </c>
      <c r="C567" s="31">
        <v>38.090000000000003</v>
      </c>
      <c r="D567" s="28" t="s">
        <v>9</v>
      </c>
      <c r="E567" s="34">
        <f t="shared" si="8"/>
        <v>9.6034765139657672E-4</v>
      </c>
    </row>
    <row r="568" spans="1:5" ht="15.75" customHeight="1" x14ac:dyDescent="0.3">
      <c r="A568" s="28">
        <v>19</v>
      </c>
      <c r="B568" s="29">
        <v>4.12</v>
      </c>
      <c r="C568" s="31">
        <v>37.869999999999997</v>
      </c>
      <c r="D568" s="28" t="s">
        <v>9</v>
      </c>
      <c r="E568" s="34">
        <f t="shared" si="8"/>
        <v>9.5480088102883572E-4</v>
      </c>
    </row>
    <row r="569" spans="1:5" ht="15.75" customHeight="1" x14ac:dyDescent="0.3">
      <c r="A569" s="28">
        <v>25</v>
      </c>
      <c r="B569" s="29">
        <v>8.5500000000000007</v>
      </c>
      <c r="C569" s="31">
        <v>37.83</v>
      </c>
      <c r="D569" s="28" t="s">
        <v>9</v>
      </c>
      <c r="E569" s="34">
        <f t="shared" si="8"/>
        <v>9.5379237732561017E-4</v>
      </c>
    </row>
    <row r="570" spans="1:5" ht="15.75" customHeight="1" x14ac:dyDescent="0.3">
      <c r="A570" s="28">
        <v>1</v>
      </c>
      <c r="B570" s="29">
        <v>4.84</v>
      </c>
      <c r="C570" s="31">
        <v>37.46</v>
      </c>
      <c r="D570" s="28" t="s">
        <v>8</v>
      </c>
      <c r="E570" s="34">
        <f t="shared" si="8"/>
        <v>9.444637180707734E-4</v>
      </c>
    </row>
    <row r="571" spans="1:5" ht="15.75" customHeight="1" x14ac:dyDescent="0.3">
      <c r="A571" s="28">
        <v>13</v>
      </c>
      <c r="B571" s="29">
        <v>5.2</v>
      </c>
      <c r="C571" s="31">
        <v>37.39</v>
      </c>
      <c r="D571" s="28" t="s">
        <v>9</v>
      </c>
      <c r="E571" s="34">
        <f t="shared" si="8"/>
        <v>9.4269883659012861E-4</v>
      </c>
    </row>
    <row r="572" spans="1:5" ht="15.75" customHeight="1" x14ac:dyDescent="0.3">
      <c r="A572" s="28">
        <v>10</v>
      </c>
      <c r="B572" s="29">
        <v>6.76</v>
      </c>
      <c r="C572" s="31">
        <v>37.07</v>
      </c>
      <c r="D572" s="28" t="s">
        <v>8</v>
      </c>
      <c r="E572" s="34">
        <f t="shared" si="8"/>
        <v>9.346308069643238E-4</v>
      </c>
    </row>
    <row r="573" spans="1:5" ht="15.75" customHeight="1" x14ac:dyDescent="0.3">
      <c r="A573" s="28">
        <v>2</v>
      </c>
      <c r="B573" s="29">
        <v>7.76</v>
      </c>
      <c r="C573" s="31">
        <v>36.99</v>
      </c>
      <c r="D573" s="28" t="s">
        <v>9</v>
      </c>
      <c r="E573" s="34">
        <f t="shared" si="8"/>
        <v>9.3261379955787271E-4</v>
      </c>
    </row>
    <row r="574" spans="1:5" ht="15.75" customHeight="1" x14ac:dyDescent="0.3">
      <c r="A574" s="28">
        <v>37</v>
      </c>
      <c r="B574" s="29">
        <v>5.15</v>
      </c>
      <c r="C574" s="31">
        <v>36.72</v>
      </c>
      <c r="D574" s="28" t="s">
        <v>9</v>
      </c>
      <c r="E574" s="34">
        <f t="shared" si="8"/>
        <v>9.2580639956109986E-4</v>
      </c>
    </row>
    <row r="575" spans="1:5" ht="15.75" customHeight="1" x14ac:dyDescent="0.3">
      <c r="A575" s="28">
        <v>5</v>
      </c>
      <c r="B575" s="29">
        <v>7.29</v>
      </c>
      <c r="C575" s="31">
        <v>36.71</v>
      </c>
      <c r="D575" s="28" t="s">
        <v>9</v>
      </c>
      <c r="E575" s="34">
        <f t="shared" si="8"/>
        <v>9.2555427363529344E-4</v>
      </c>
    </row>
    <row r="576" spans="1:5" ht="15.75" customHeight="1" x14ac:dyDescent="0.3">
      <c r="A576" s="28">
        <v>52</v>
      </c>
      <c r="B576" s="29">
        <v>4.1399999999999997</v>
      </c>
      <c r="C576" s="31">
        <v>36.58</v>
      </c>
      <c r="D576" s="28" t="s">
        <v>9</v>
      </c>
      <c r="E576" s="34">
        <f t="shared" si="8"/>
        <v>9.2227663659981017E-4</v>
      </c>
    </row>
    <row r="577" spans="1:5" ht="15.75" customHeight="1" x14ac:dyDescent="0.3">
      <c r="A577" s="28">
        <v>1</v>
      </c>
      <c r="B577" s="29">
        <v>5.76</v>
      </c>
      <c r="C577" s="31">
        <v>36.57</v>
      </c>
      <c r="D577" s="28" t="s">
        <v>9</v>
      </c>
      <c r="E577" s="34">
        <f t="shared" si="8"/>
        <v>9.2202451067400386E-4</v>
      </c>
    </row>
    <row r="578" spans="1:5" ht="15.75" customHeight="1" x14ac:dyDescent="0.3">
      <c r="A578" s="28">
        <v>48</v>
      </c>
      <c r="B578" s="29">
        <v>6.23</v>
      </c>
      <c r="C578" s="31">
        <v>36.51</v>
      </c>
      <c r="D578" s="28" t="s">
        <v>9</v>
      </c>
      <c r="E578" s="34">
        <f t="shared" si="8"/>
        <v>9.2051175511916538E-4</v>
      </c>
    </row>
    <row r="579" spans="1:5" ht="15.75" customHeight="1" x14ac:dyDescent="0.3">
      <c r="A579" s="28">
        <v>27</v>
      </c>
      <c r="B579" s="29">
        <v>4.1100000000000003</v>
      </c>
      <c r="C579" s="31">
        <v>36.31</v>
      </c>
      <c r="D579" s="28" t="s">
        <v>9</v>
      </c>
      <c r="E579" s="34">
        <f t="shared" si="8"/>
        <v>9.1546923660303754E-4</v>
      </c>
    </row>
    <row r="580" spans="1:5" ht="15.75" customHeight="1" x14ac:dyDescent="0.3">
      <c r="A580" s="28">
        <v>27</v>
      </c>
      <c r="B580" s="29">
        <v>6.47</v>
      </c>
      <c r="C580" s="31">
        <v>36.21</v>
      </c>
      <c r="D580" s="28" t="s">
        <v>9</v>
      </c>
      <c r="E580" s="34">
        <f t="shared" si="8"/>
        <v>9.1294797734497351E-4</v>
      </c>
    </row>
    <row r="581" spans="1:5" ht="15.75" customHeight="1" x14ac:dyDescent="0.3">
      <c r="A581" s="28">
        <v>24</v>
      </c>
      <c r="B581" s="29">
        <v>4.66</v>
      </c>
      <c r="C581" s="31">
        <v>36.200000000000003</v>
      </c>
      <c r="D581" s="28" t="s">
        <v>9</v>
      </c>
      <c r="E581" s="34">
        <f t="shared" si="8"/>
        <v>9.1269585141916709E-4</v>
      </c>
    </row>
    <row r="582" spans="1:5" ht="15.75" customHeight="1" x14ac:dyDescent="0.3">
      <c r="A582" s="28">
        <v>16</v>
      </c>
      <c r="B582" s="29">
        <v>4.34</v>
      </c>
      <c r="C582" s="31">
        <v>35.799999999999997</v>
      </c>
      <c r="D582" s="28" t="s">
        <v>8</v>
      </c>
      <c r="E582" s="34">
        <f t="shared" si="8"/>
        <v>9.0261081438691097E-4</v>
      </c>
    </row>
    <row r="583" spans="1:5" ht="15.75" customHeight="1" x14ac:dyDescent="0.3">
      <c r="A583" s="28">
        <v>15</v>
      </c>
      <c r="B583" s="29">
        <v>4.1399999999999997</v>
      </c>
      <c r="C583" s="31">
        <v>35.78</v>
      </c>
      <c r="D583" s="28" t="s">
        <v>8</v>
      </c>
      <c r="E583" s="34">
        <f t="shared" ref="E583:E646" si="9">C583/C$667</f>
        <v>9.0210656253529825E-4</v>
      </c>
    </row>
    <row r="584" spans="1:5" ht="15.75" customHeight="1" x14ac:dyDescent="0.3">
      <c r="A584" s="28">
        <v>51</v>
      </c>
      <c r="B584" s="29">
        <v>7.45</v>
      </c>
      <c r="C584" s="31">
        <v>35.75</v>
      </c>
      <c r="D584" s="28" t="s">
        <v>9</v>
      </c>
      <c r="E584" s="34">
        <f t="shared" si="9"/>
        <v>9.0135018475787912E-4</v>
      </c>
    </row>
    <row r="585" spans="1:5" ht="15.75" customHeight="1" x14ac:dyDescent="0.3">
      <c r="A585" s="28">
        <v>13</v>
      </c>
      <c r="B585" s="29">
        <v>5.42</v>
      </c>
      <c r="C585" s="31">
        <v>35.58</v>
      </c>
      <c r="D585" s="28" t="s">
        <v>9</v>
      </c>
      <c r="E585" s="34">
        <f t="shared" si="9"/>
        <v>8.9706404401917019E-4</v>
      </c>
    </row>
    <row r="586" spans="1:5" ht="15.75" customHeight="1" x14ac:dyDescent="0.3">
      <c r="A586" s="28">
        <v>51</v>
      </c>
      <c r="B586" s="29">
        <v>4.96</v>
      </c>
      <c r="C586" s="31">
        <v>35.53</v>
      </c>
      <c r="D586" s="28" t="s">
        <v>9</v>
      </c>
      <c r="E586" s="34">
        <f t="shared" si="9"/>
        <v>8.9580341439013833E-4</v>
      </c>
    </row>
    <row r="587" spans="1:5" ht="15.75" customHeight="1" x14ac:dyDescent="0.3">
      <c r="A587" s="28">
        <v>14</v>
      </c>
      <c r="B587" s="29">
        <v>8.1199999999999992</v>
      </c>
      <c r="C587" s="31">
        <v>35.380000000000003</v>
      </c>
      <c r="D587" s="28" t="s">
        <v>9</v>
      </c>
      <c r="E587" s="34">
        <f t="shared" si="9"/>
        <v>8.9202152550304234E-4</v>
      </c>
    </row>
    <row r="588" spans="1:5" ht="15.75" customHeight="1" x14ac:dyDescent="0.3">
      <c r="A588" s="28">
        <v>28</v>
      </c>
      <c r="B588" s="29">
        <v>4.3899999999999997</v>
      </c>
      <c r="C588" s="31">
        <v>35.26</v>
      </c>
      <c r="D588" s="28" t="s">
        <v>9</v>
      </c>
      <c r="E588" s="34">
        <f t="shared" si="9"/>
        <v>8.8899601439336538E-4</v>
      </c>
    </row>
    <row r="589" spans="1:5" ht="15.75" customHeight="1" x14ac:dyDescent="0.3">
      <c r="A589" s="28">
        <v>44</v>
      </c>
      <c r="B589" s="29">
        <v>3.3</v>
      </c>
      <c r="C589" s="31">
        <v>35.11</v>
      </c>
      <c r="D589" s="28" t="s">
        <v>9</v>
      </c>
      <c r="E589" s="34">
        <f t="shared" si="9"/>
        <v>8.8521412550626949E-4</v>
      </c>
    </row>
    <row r="590" spans="1:5" ht="15.75" customHeight="1" x14ac:dyDescent="0.3">
      <c r="A590" s="28">
        <v>34</v>
      </c>
      <c r="B590" s="29">
        <v>6.25</v>
      </c>
      <c r="C590" s="31">
        <v>35.03</v>
      </c>
      <c r="D590" s="28" t="s">
        <v>9</v>
      </c>
      <c r="E590" s="34">
        <f t="shared" si="9"/>
        <v>8.8319711809981829E-4</v>
      </c>
    </row>
    <row r="591" spans="1:5" ht="15.75" customHeight="1" x14ac:dyDescent="0.3">
      <c r="A591" s="28">
        <v>14</v>
      </c>
      <c r="B591" s="29">
        <v>1.5</v>
      </c>
      <c r="C591" s="31">
        <v>34.97</v>
      </c>
      <c r="D591" s="28" t="s">
        <v>9</v>
      </c>
      <c r="E591" s="34">
        <f t="shared" si="9"/>
        <v>8.8168436254497981E-4</v>
      </c>
    </row>
    <row r="592" spans="1:5" ht="15.75" customHeight="1" x14ac:dyDescent="0.3">
      <c r="A592" s="28">
        <v>19</v>
      </c>
      <c r="B592" s="29">
        <v>7.79</v>
      </c>
      <c r="C592" s="31">
        <v>34.770000000000003</v>
      </c>
      <c r="D592" s="28" t="s">
        <v>9</v>
      </c>
      <c r="E592" s="34">
        <f t="shared" si="9"/>
        <v>8.7664184402885196E-4</v>
      </c>
    </row>
    <row r="593" spans="1:5" ht="15.75" customHeight="1" x14ac:dyDescent="0.3">
      <c r="A593" s="28">
        <v>12</v>
      </c>
      <c r="B593" s="29">
        <v>3.7</v>
      </c>
      <c r="C593" s="31">
        <v>34.53</v>
      </c>
      <c r="D593" s="28" t="s">
        <v>9</v>
      </c>
      <c r="E593" s="34">
        <f t="shared" si="9"/>
        <v>8.7059082180949835E-4</v>
      </c>
    </row>
    <row r="594" spans="1:5" ht="15.75" customHeight="1" x14ac:dyDescent="0.3">
      <c r="A594" s="28">
        <v>25</v>
      </c>
      <c r="B594" s="29">
        <v>5.48</v>
      </c>
      <c r="C594" s="31">
        <v>34.47</v>
      </c>
      <c r="D594" s="28" t="s">
        <v>9</v>
      </c>
      <c r="E594" s="34">
        <f t="shared" si="9"/>
        <v>8.6907806625465987E-4</v>
      </c>
    </row>
    <row r="595" spans="1:5" ht="15.75" customHeight="1" x14ac:dyDescent="0.3">
      <c r="A595" s="28">
        <v>9</v>
      </c>
      <c r="B595" s="29">
        <v>4.4400000000000004</v>
      </c>
      <c r="C595" s="31">
        <v>34.409999999999997</v>
      </c>
      <c r="D595" s="28" t="s">
        <v>9</v>
      </c>
      <c r="E595" s="34">
        <f t="shared" si="9"/>
        <v>8.6756531069982139E-4</v>
      </c>
    </row>
    <row r="596" spans="1:5" ht="15.75" customHeight="1" x14ac:dyDescent="0.3">
      <c r="A596" s="28">
        <v>27</v>
      </c>
      <c r="B596" s="29">
        <v>6.63</v>
      </c>
      <c r="C596" s="31">
        <v>34.28</v>
      </c>
      <c r="D596" s="28" t="s">
        <v>8</v>
      </c>
      <c r="E596" s="34">
        <f t="shared" si="9"/>
        <v>8.6428767366433833E-4</v>
      </c>
    </row>
    <row r="597" spans="1:5" ht="15.75" customHeight="1" x14ac:dyDescent="0.3">
      <c r="A597" s="28">
        <v>20</v>
      </c>
      <c r="B597" s="29">
        <v>4.46</v>
      </c>
      <c r="C597" s="31">
        <v>34.049999999999997</v>
      </c>
      <c r="D597" s="28" t="s">
        <v>9</v>
      </c>
      <c r="E597" s="34">
        <f t="shared" si="9"/>
        <v>8.5848877737079103E-4</v>
      </c>
    </row>
    <row r="598" spans="1:5" ht="15.75" customHeight="1" x14ac:dyDescent="0.3">
      <c r="A598" s="28">
        <v>32</v>
      </c>
      <c r="B598" s="29">
        <v>4.3099999999999996</v>
      </c>
      <c r="C598" s="31">
        <v>33.97</v>
      </c>
      <c r="D598" s="28" t="s">
        <v>9</v>
      </c>
      <c r="E598" s="34">
        <f t="shared" si="9"/>
        <v>8.5647176996433993E-4</v>
      </c>
    </row>
    <row r="599" spans="1:5" ht="15.75" customHeight="1" x14ac:dyDescent="0.3">
      <c r="A599" s="28">
        <v>28</v>
      </c>
      <c r="B599" s="29">
        <v>7.27</v>
      </c>
      <c r="C599" s="31">
        <v>33.450000000000003</v>
      </c>
      <c r="D599" s="28" t="s">
        <v>9</v>
      </c>
      <c r="E599" s="34">
        <f t="shared" si="9"/>
        <v>8.4336122182240717E-4</v>
      </c>
    </row>
    <row r="600" spans="1:5" ht="15.75" customHeight="1" x14ac:dyDescent="0.3">
      <c r="A600" s="28">
        <v>19</v>
      </c>
      <c r="B600" s="29">
        <v>6.22</v>
      </c>
      <c r="C600" s="31">
        <v>33.18</v>
      </c>
      <c r="D600" s="28" t="s">
        <v>9</v>
      </c>
      <c r="E600" s="34">
        <f t="shared" si="9"/>
        <v>8.3655382182563432E-4</v>
      </c>
    </row>
    <row r="601" spans="1:5" ht="15.75" customHeight="1" x14ac:dyDescent="0.3">
      <c r="A601" s="28">
        <v>23</v>
      </c>
      <c r="B601" s="29">
        <v>6.68</v>
      </c>
      <c r="C601" s="31">
        <v>33.049999999999997</v>
      </c>
      <c r="D601" s="28" t="s">
        <v>8</v>
      </c>
      <c r="E601" s="34">
        <f t="shared" si="9"/>
        <v>8.3327618479015104E-4</v>
      </c>
    </row>
    <row r="602" spans="1:5" ht="15.75" customHeight="1" x14ac:dyDescent="0.3">
      <c r="A602" s="28">
        <v>2</v>
      </c>
      <c r="B602" s="29">
        <v>3.3</v>
      </c>
      <c r="C602" s="31">
        <v>33.03</v>
      </c>
      <c r="D602" s="28" t="s">
        <v>9</v>
      </c>
      <c r="E602" s="34">
        <f t="shared" si="9"/>
        <v>8.3277193293853833E-4</v>
      </c>
    </row>
    <row r="603" spans="1:5" ht="15.75" customHeight="1" x14ac:dyDescent="0.3">
      <c r="A603" s="28">
        <v>30</v>
      </c>
      <c r="B603" s="29">
        <v>2</v>
      </c>
      <c r="C603" s="31">
        <v>32.700000000000003</v>
      </c>
      <c r="D603" s="28" t="s">
        <v>9</v>
      </c>
      <c r="E603" s="34">
        <f t="shared" si="9"/>
        <v>8.2445177738692721E-4</v>
      </c>
    </row>
    <row r="604" spans="1:5" ht="15.75" customHeight="1" x14ac:dyDescent="0.3">
      <c r="A604" s="28">
        <v>24</v>
      </c>
      <c r="B604" s="29">
        <v>7.72</v>
      </c>
      <c r="C604" s="31">
        <v>31.75</v>
      </c>
      <c r="D604" s="28" t="s">
        <v>9</v>
      </c>
      <c r="E604" s="34">
        <f t="shared" si="9"/>
        <v>8.0049981443531919E-4</v>
      </c>
    </row>
    <row r="605" spans="1:5" ht="15.75" customHeight="1" x14ac:dyDescent="0.3">
      <c r="A605" s="28">
        <v>19</v>
      </c>
      <c r="B605" s="29">
        <v>2.9</v>
      </c>
      <c r="C605" s="31">
        <v>31.65</v>
      </c>
      <c r="D605" s="28" t="s">
        <v>9</v>
      </c>
      <c r="E605" s="34">
        <f t="shared" si="9"/>
        <v>7.9797855517725516E-4</v>
      </c>
    </row>
    <row r="606" spans="1:5" ht="15.75" customHeight="1" x14ac:dyDescent="0.3">
      <c r="A606" s="28">
        <v>50</v>
      </c>
      <c r="B606" s="29">
        <v>6.18</v>
      </c>
      <c r="C606" s="31">
        <v>31.57</v>
      </c>
      <c r="D606" s="28" t="s">
        <v>9</v>
      </c>
      <c r="E606" s="34">
        <f t="shared" si="9"/>
        <v>7.9596154777080395E-4</v>
      </c>
    </row>
    <row r="607" spans="1:5" ht="15.75" customHeight="1" x14ac:dyDescent="0.3">
      <c r="A607" s="28">
        <v>25</v>
      </c>
      <c r="B607" s="29">
        <v>4.32</v>
      </c>
      <c r="C607" s="31">
        <v>31.48</v>
      </c>
      <c r="D607" s="28" t="s">
        <v>9</v>
      </c>
      <c r="E607" s="34">
        <f t="shared" si="9"/>
        <v>7.9369241443854634E-4</v>
      </c>
    </row>
    <row r="608" spans="1:5" ht="15.75" customHeight="1" x14ac:dyDescent="0.3">
      <c r="A608" s="28">
        <v>1</v>
      </c>
      <c r="B608" s="29">
        <v>1.8</v>
      </c>
      <c r="C608" s="31">
        <v>31.37</v>
      </c>
      <c r="D608" s="28" t="s">
        <v>9</v>
      </c>
      <c r="E608" s="34">
        <f t="shared" si="9"/>
        <v>7.90919029254676E-4</v>
      </c>
    </row>
    <row r="609" spans="1:5" ht="15.75" customHeight="1" x14ac:dyDescent="0.3">
      <c r="A609" s="28">
        <v>47</v>
      </c>
      <c r="B609" s="29">
        <v>5.03</v>
      </c>
      <c r="C609" s="31">
        <v>31.21</v>
      </c>
      <c r="D609" s="28" t="s">
        <v>8</v>
      </c>
      <c r="E609" s="34">
        <f t="shared" si="9"/>
        <v>7.8688501444177359E-4</v>
      </c>
    </row>
    <row r="610" spans="1:5" ht="15.75" customHeight="1" x14ac:dyDescent="0.3">
      <c r="A610" s="28">
        <v>12</v>
      </c>
      <c r="B610" s="29">
        <v>2.4</v>
      </c>
      <c r="C610" s="31">
        <v>31.1</v>
      </c>
      <c r="D610" s="28" t="s">
        <v>9</v>
      </c>
      <c r="E610" s="34">
        <f t="shared" si="9"/>
        <v>7.8411162925790326E-4</v>
      </c>
    </row>
    <row r="611" spans="1:5" ht="15.75" customHeight="1" x14ac:dyDescent="0.3">
      <c r="A611" s="28">
        <v>9</v>
      </c>
      <c r="B611" s="29">
        <v>4.46</v>
      </c>
      <c r="C611" s="31">
        <v>30.81</v>
      </c>
      <c r="D611" s="28" t="s">
        <v>9</v>
      </c>
      <c r="E611" s="34">
        <f t="shared" si="9"/>
        <v>7.7679997740951758E-4</v>
      </c>
    </row>
    <row r="612" spans="1:5" ht="15.75" customHeight="1" x14ac:dyDescent="0.3">
      <c r="A612" s="28">
        <v>31</v>
      </c>
      <c r="B612" s="29">
        <v>4.6500000000000004</v>
      </c>
      <c r="C612" s="31">
        <v>30.74</v>
      </c>
      <c r="D612" s="28" t="s">
        <v>8</v>
      </c>
      <c r="E612" s="34">
        <f t="shared" si="9"/>
        <v>7.7503509592887279E-4</v>
      </c>
    </row>
    <row r="613" spans="1:5" ht="15.75" customHeight="1" x14ac:dyDescent="0.3">
      <c r="A613" s="28">
        <v>20</v>
      </c>
      <c r="B613" s="29">
        <v>3</v>
      </c>
      <c r="C613" s="31">
        <v>30.68</v>
      </c>
      <c r="D613" s="28" t="s">
        <v>9</v>
      </c>
      <c r="E613" s="34">
        <f t="shared" si="9"/>
        <v>7.7352234037403442E-4</v>
      </c>
    </row>
    <row r="614" spans="1:5" ht="15.75" customHeight="1" x14ac:dyDescent="0.3">
      <c r="A614" s="28">
        <v>26</v>
      </c>
      <c r="B614" s="29">
        <v>5.3</v>
      </c>
      <c r="C614" s="31">
        <v>30.67</v>
      </c>
      <c r="D614" s="28" t="s">
        <v>9</v>
      </c>
      <c r="E614" s="34">
        <f t="shared" si="9"/>
        <v>7.73270214448228E-4</v>
      </c>
    </row>
    <row r="615" spans="1:5" ht="15.75" customHeight="1" x14ac:dyDescent="0.3">
      <c r="A615" s="28">
        <v>48</v>
      </c>
      <c r="B615" s="29">
        <v>4</v>
      </c>
      <c r="C615" s="31">
        <v>30.62</v>
      </c>
      <c r="D615" s="28" t="s">
        <v>9</v>
      </c>
      <c r="E615" s="34">
        <f t="shared" si="9"/>
        <v>7.7200958481919604E-4</v>
      </c>
    </row>
    <row r="616" spans="1:5" ht="15.75" customHeight="1" x14ac:dyDescent="0.3">
      <c r="A616" s="28">
        <v>47</v>
      </c>
      <c r="B616" s="29">
        <v>3.6</v>
      </c>
      <c r="C616" s="31">
        <v>30.33</v>
      </c>
      <c r="D616" s="28" t="s">
        <v>9</v>
      </c>
      <c r="E616" s="34">
        <f t="shared" si="9"/>
        <v>7.6469793297081036E-4</v>
      </c>
    </row>
    <row r="617" spans="1:5" ht="15.75" customHeight="1" x14ac:dyDescent="0.3">
      <c r="A617" s="28">
        <v>10</v>
      </c>
      <c r="B617" s="29">
        <v>4.8</v>
      </c>
      <c r="C617" s="31">
        <v>29.99</v>
      </c>
      <c r="D617" s="28" t="s">
        <v>9</v>
      </c>
      <c r="E617" s="34">
        <f t="shared" si="9"/>
        <v>7.5612565149339272E-4</v>
      </c>
    </row>
    <row r="618" spans="1:5" ht="15.75" customHeight="1" x14ac:dyDescent="0.3">
      <c r="A618" s="28">
        <v>17</v>
      </c>
      <c r="B618" s="29">
        <v>9.0500000000000007</v>
      </c>
      <c r="C618" s="31">
        <v>29.32</v>
      </c>
      <c r="D618" s="28" t="s">
        <v>8</v>
      </c>
      <c r="E618" s="34">
        <f t="shared" si="9"/>
        <v>7.3923321446436408E-4</v>
      </c>
    </row>
    <row r="619" spans="1:5" ht="15.75" customHeight="1" x14ac:dyDescent="0.3">
      <c r="A619" s="28">
        <v>17</v>
      </c>
      <c r="B619" s="29">
        <v>2</v>
      </c>
      <c r="C619" s="31">
        <v>29.17</v>
      </c>
      <c r="D619" s="28" t="s">
        <v>9</v>
      </c>
      <c r="E619" s="34">
        <f t="shared" si="9"/>
        <v>7.3545132557726808E-4</v>
      </c>
    </row>
    <row r="620" spans="1:5" ht="15.75" customHeight="1" x14ac:dyDescent="0.3">
      <c r="A620" s="28">
        <v>27</v>
      </c>
      <c r="B620" s="29">
        <v>5.22</v>
      </c>
      <c r="C620" s="31">
        <v>28.76</v>
      </c>
      <c r="D620" s="28" t="s">
        <v>9</v>
      </c>
      <c r="E620" s="34">
        <f t="shared" si="9"/>
        <v>7.2511416261920566E-4</v>
      </c>
    </row>
    <row r="621" spans="1:5" ht="15.75" customHeight="1" x14ac:dyDescent="0.3">
      <c r="A621" s="28">
        <v>31</v>
      </c>
      <c r="B621" s="29">
        <v>7.22</v>
      </c>
      <c r="C621" s="31">
        <v>28.75</v>
      </c>
      <c r="D621" s="28" t="s">
        <v>8</v>
      </c>
      <c r="E621" s="34">
        <f t="shared" si="9"/>
        <v>7.2486203669339924E-4</v>
      </c>
    </row>
    <row r="622" spans="1:5" ht="15.75" customHeight="1" x14ac:dyDescent="0.3">
      <c r="A622" s="28">
        <v>36</v>
      </c>
      <c r="B622" s="29">
        <v>1.9</v>
      </c>
      <c r="C622" s="31">
        <v>28.32</v>
      </c>
      <c r="D622" s="28" t="s">
        <v>9</v>
      </c>
      <c r="E622" s="34">
        <f t="shared" si="9"/>
        <v>7.1402062188372409E-4</v>
      </c>
    </row>
    <row r="623" spans="1:5" ht="15.75" customHeight="1" x14ac:dyDescent="0.3">
      <c r="A623" s="28">
        <v>57</v>
      </c>
      <c r="B623" s="29">
        <v>5.85</v>
      </c>
      <c r="C623" s="31">
        <v>28.16</v>
      </c>
      <c r="D623" s="28" t="s">
        <v>9</v>
      </c>
      <c r="E623" s="34">
        <f t="shared" si="9"/>
        <v>7.0998660707082169E-4</v>
      </c>
    </row>
    <row r="624" spans="1:5" ht="15.75" customHeight="1" x14ac:dyDescent="0.3">
      <c r="A624" s="28">
        <v>14</v>
      </c>
      <c r="B624" s="29">
        <v>3.9</v>
      </c>
      <c r="C624" s="31">
        <v>27.84</v>
      </c>
      <c r="D624" s="28" t="s">
        <v>9</v>
      </c>
      <c r="E624" s="34">
        <f t="shared" si="9"/>
        <v>7.0191857744501688E-4</v>
      </c>
    </row>
    <row r="625" spans="1:5" ht="15.75" customHeight="1" x14ac:dyDescent="0.3">
      <c r="A625" s="28">
        <v>38</v>
      </c>
      <c r="B625" s="29">
        <v>8.39</v>
      </c>
      <c r="C625" s="31">
        <v>27.64</v>
      </c>
      <c r="D625" s="28" t="s">
        <v>8</v>
      </c>
      <c r="E625" s="34">
        <f t="shared" si="9"/>
        <v>6.9687605892888892E-4</v>
      </c>
    </row>
    <row r="626" spans="1:5" ht="15.75" customHeight="1" x14ac:dyDescent="0.3">
      <c r="A626" s="28">
        <v>19</v>
      </c>
      <c r="B626" s="29">
        <v>6.41</v>
      </c>
      <c r="C626" s="31">
        <v>26.77</v>
      </c>
      <c r="D626" s="28" t="s">
        <v>9</v>
      </c>
      <c r="E626" s="34">
        <f t="shared" si="9"/>
        <v>6.749411033837321E-4</v>
      </c>
    </row>
    <row r="627" spans="1:5" ht="15.75" customHeight="1" x14ac:dyDescent="0.3">
      <c r="A627" s="28">
        <v>31</v>
      </c>
      <c r="B627" s="29">
        <v>4.13</v>
      </c>
      <c r="C627" s="31">
        <v>26.63</v>
      </c>
      <c r="D627" s="28" t="s">
        <v>8</v>
      </c>
      <c r="E627" s="34">
        <f t="shared" si="9"/>
        <v>6.7141134042244253E-4</v>
      </c>
    </row>
    <row r="628" spans="1:5" ht="15.75" customHeight="1" x14ac:dyDescent="0.3">
      <c r="A628" s="28">
        <v>29</v>
      </c>
      <c r="B628" s="29">
        <v>7.38</v>
      </c>
      <c r="C628" s="31">
        <v>26.08</v>
      </c>
      <c r="D628" s="28" t="s">
        <v>8</v>
      </c>
      <c r="E628" s="34">
        <f t="shared" si="9"/>
        <v>6.5754441450309052E-4</v>
      </c>
    </row>
    <row r="629" spans="1:5" ht="15.75" customHeight="1" x14ac:dyDescent="0.3">
      <c r="A629" s="28">
        <v>29</v>
      </c>
      <c r="B629" s="29">
        <v>2.9</v>
      </c>
      <c r="C629" s="31">
        <v>26.05</v>
      </c>
      <c r="D629" s="28" t="s">
        <v>9</v>
      </c>
      <c r="E629" s="34">
        <f t="shared" si="9"/>
        <v>6.5678803672567139E-4</v>
      </c>
    </row>
    <row r="630" spans="1:5" ht="15.75" customHeight="1" x14ac:dyDescent="0.3">
      <c r="A630" s="28">
        <v>52</v>
      </c>
      <c r="B630" s="29">
        <v>4.03</v>
      </c>
      <c r="C630" s="31">
        <v>25.68</v>
      </c>
      <c r="D630" s="28" t="s">
        <v>9</v>
      </c>
      <c r="E630" s="34">
        <f t="shared" si="9"/>
        <v>6.4745937747083451E-4</v>
      </c>
    </row>
    <row r="631" spans="1:5" ht="15.75" customHeight="1" x14ac:dyDescent="0.3">
      <c r="A631" s="28">
        <v>29</v>
      </c>
      <c r="B631" s="29">
        <v>2.67</v>
      </c>
      <c r="C631" s="31">
        <v>25.28</v>
      </c>
      <c r="D631" s="28" t="s">
        <v>9</v>
      </c>
      <c r="E631" s="34">
        <f t="shared" si="9"/>
        <v>6.373743404385786E-4</v>
      </c>
    </row>
    <row r="632" spans="1:5" ht="15.75" customHeight="1" x14ac:dyDescent="0.3">
      <c r="A632" s="28">
        <v>40</v>
      </c>
      <c r="B632" s="29">
        <v>4.4400000000000004</v>
      </c>
      <c r="C632" s="31">
        <v>24.63</v>
      </c>
      <c r="D632" s="28" t="s">
        <v>8</v>
      </c>
      <c r="E632" s="34">
        <f t="shared" si="9"/>
        <v>6.2098615526116256E-4</v>
      </c>
    </row>
    <row r="633" spans="1:5" ht="15.75" customHeight="1" x14ac:dyDescent="0.3">
      <c r="A633" s="28">
        <v>8</v>
      </c>
      <c r="B633" s="29">
        <v>4.62</v>
      </c>
      <c r="C633" s="31">
        <v>24.61</v>
      </c>
      <c r="D633" s="28" t="s">
        <v>9</v>
      </c>
      <c r="E633" s="34">
        <f t="shared" si="9"/>
        <v>6.2048190340954973E-4</v>
      </c>
    </row>
    <row r="634" spans="1:5" ht="15.75" customHeight="1" x14ac:dyDescent="0.3">
      <c r="A634" s="28">
        <v>50</v>
      </c>
      <c r="B634" s="29">
        <v>5.58</v>
      </c>
      <c r="C634" s="31">
        <v>24.34</v>
      </c>
      <c r="D634" s="28" t="s">
        <v>9</v>
      </c>
      <c r="E634" s="34">
        <f t="shared" si="9"/>
        <v>6.1367450341277699E-4</v>
      </c>
    </row>
    <row r="635" spans="1:5" ht="15.75" customHeight="1" x14ac:dyDescent="0.3">
      <c r="A635" s="28">
        <v>19</v>
      </c>
      <c r="B635" s="29">
        <v>3.8</v>
      </c>
      <c r="C635" s="31">
        <v>23.5</v>
      </c>
      <c r="D635" s="28" t="s">
        <v>9</v>
      </c>
      <c r="E635" s="34">
        <f t="shared" si="9"/>
        <v>5.9249592564503942E-4</v>
      </c>
    </row>
    <row r="636" spans="1:5" ht="15.75" customHeight="1" x14ac:dyDescent="0.3">
      <c r="A636" s="28">
        <v>21</v>
      </c>
      <c r="B636" s="29">
        <v>1.5</v>
      </c>
      <c r="C636" s="31">
        <v>23.33</v>
      </c>
      <c r="D636" s="28" t="s">
        <v>9</v>
      </c>
      <c r="E636" s="34">
        <f t="shared" si="9"/>
        <v>5.882097849063306E-4</v>
      </c>
    </row>
    <row r="637" spans="1:5" ht="15.75" customHeight="1" x14ac:dyDescent="0.3">
      <c r="A637" s="28">
        <v>68</v>
      </c>
      <c r="B637" s="29">
        <v>4.37</v>
      </c>
      <c r="C637" s="31">
        <v>23.31</v>
      </c>
      <c r="D637" s="28" t="s">
        <v>9</v>
      </c>
      <c r="E637" s="34">
        <f t="shared" si="9"/>
        <v>5.8770553305471777E-4</v>
      </c>
    </row>
    <row r="638" spans="1:5" ht="15.75" customHeight="1" x14ac:dyDescent="0.3">
      <c r="A638" s="28">
        <v>5</v>
      </c>
      <c r="B638" s="29">
        <v>1.5</v>
      </c>
      <c r="C638" s="31">
        <v>22.81</v>
      </c>
      <c r="D638" s="28" t="s">
        <v>9</v>
      </c>
      <c r="E638" s="34">
        <f t="shared" si="9"/>
        <v>5.7509923676439772E-4</v>
      </c>
    </row>
    <row r="639" spans="1:5" ht="15.75" customHeight="1" x14ac:dyDescent="0.3">
      <c r="A639" s="28">
        <v>9</v>
      </c>
      <c r="B639" s="29">
        <v>2.1</v>
      </c>
      <c r="C639" s="31">
        <v>22.59</v>
      </c>
      <c r="D639" s="28" t="s">
        <v>9</v>
      </c>
      <c r="E639" s="34">
        <f t="shared" si="9"/>
        <v>5.6955246639665705E-4</v>
      </c>
    </row>
    <row r="640" spans="1:5" ht="15.75" customHeight="1" x14ac:dyDescent="0.3">
      <c r="A640" s="28">
        <v>30</v>
      </c>
      <c r="B640" s="29">
        <v>7.18</v>
      </c>
      <c r="C640" s="31">
        <v>22.58</v>
      </c>
      <c r="D640" s="28" t="s">
        <v>9</v>
      </c>
      <c r="E640" s="34">
        <f t="shared" si="9"/>
        <v>5.6930034047085053E-4</v>
      </c>
    </row>
    <row r="641" spans="1:5" ht="15.75" customHeight="1" x14ac:dyDescent="0.3">
      <c r="A641" s="28">
        <v>28</v>
      </c>
      <c r="B641" s="29">
        <v>4.1399999999999997</v>
      </c>
      <c r="C641" s="31">
        <v>22.54</v>
      </c>
      <c r="D641" s="28" t="s">
        <v>9</v>
      </c>
      <c r="E641" s="34">
        <f t="shared" si="9"/>
        <v>5.6829183676762498E-4</v>
      </c>
    </row>
    <row r="642" spans="1:5" ht="15.75" customHeight="1" x14ac:dyDescent="0.3">
      <c r="A642" s="28">
        <v>11</v>
      </c>
      <c r="B642" s="29">
        <v>3.5</v>
      </c>
      <c r="C642" s="31">
        <v>22.47</v>
      </c>
      <c r="D642" s="28" t="s">
        <v>9</v>
      </c>
      <c r="E642" s="34">
        <f t="shared" si="9"/>
        <v>5.6652695528698019E-4</v>
      </c>
    </row>
    <row r="643" spans="1:5" ht="15.75" customHeight="1" x14ac:dyDescent="0.3">
      <c r="A643" s="28">
        <v>49</v>
      </c>
      <c r="B643" s="29">
        <v>4</v>
      </c>
      <c r="C643" s="31">
        <v>21.99</v>
      </c>
      <c r="D643" s="28" t="s">
        <v>9</v>
      </c>
      <c r="E643" s="34">
        <f t="shared" si="9"/>
        <v>5.5442491084827298E-4</v>
      </c>
    </row>
    <row r="644" spans="1:5" ht="15.75" customHeight="1" x14ac:dyDescent="0.3">
      <c r="A644" s="28">
        <v>7</v>
      </c>
      <c r="B644" s="29">
        <v>4.0599999999999996</v>
      </c>
      <c r="C644" s="31">
        <v>21.98</v>
      </c>
      <c r="D644" s="28" t="s">
        <v>9</v>
      </c>
      <c r="E644" s="34">
        <f t="shared" si="9"/>
        <v>5.5417278492246667E-4</v>
      </c>
    </row>
    <row r="645" spans="1:5" ht="15.75" customHeight="1" x14ac:dyDescent="0.3">
      <c r="A645" s="28">
        <v>32</v>
      </c>
      <c r="B645" s="29">
        <v>6.31</v>
      </c>
      <c r="C645" s="31">
        <v>21.73</v>
      </c>
      <c r="D645" s="28" t="s">
        <v>9</v>
      </c>
      <c r="E645" s="34">
        <f t="shared" si="9"/>
        <v>5.4786963677730665E-4</v>
      </c>
    </row>
    <row r="646" spans="1:5" ht="15.75" customHeight="1" x14ac:dyDescent="0.3">
      <c r="A646" s="28">
        <v>10</v>
      </c>
      <c r="B646" s="29">
        <v>5.46</v>
      </c>
      <c r="C646" s="31">
        <v>21.46</v>
      </c>
      <c r="D646" s="28" t="s">
        <v>8</v>
      </c>
      <c r="E646" s="34">
        <f t="shared" si="9"/>
        <v>5.4106223678053391E-4</v>
      </c>
    </row>
    <row r="647" spans="1:5" ht="15.75" customHeight="1" x14ac:dyDescent="0.3">
      <c r="A647" s="28">
        <v>23</v>
      </c>
      <c r="B647" s="29">
        <v>4.54</v>
      </c>
      <c r="C647" s="31">
        <v>21.1</v>
      </c>
      <c r="D647" s="28" t="s">
        <v>8</v>
      </c>
      <c r="E647" s="34">
        <f t="shared" ref="E647:E666" si="10">C647/C$667</f>
        <v>5.3198570345150344E-4</v>
      </c>
    </row>
    <row r="648" spans="1:5" ht="15.75" customHeight="1" x14ac:dyDescent="0.3">
      <c r="A648" s="28">
        <v>29</v>
      </c>
      <c r="B648" s="29">
        <v>4.1500000000000004</v>
      </c>
      <c r="C648" s="31">
        <v>20.84</v>
      </c>
      <c r="D648" s="28" t="s">
        <v>9</v>
      </c>
      <c r="E648" s="34">
        <f t="shared" si="10"/>
        <v>5.25430429380537E-4</v>
      </c>
    </row>
    <row r="649" spans="1:5" ht="15.75" customHeight="1" x14ac:dyDescent="0.3">
      <c r="A649" s="28">
        <v>10</v>
      </c>
      <c r="B649" s="29">
        <v>5.65</v>
      </c>
      <c r="C649" s="31">
        <v>20.309999999999999</v>
      </c>
      <c r="D649" s="28" t="s">
        <v>9</v>
      </c>
      <c r="E649" s="34">
        <f t="shared" si="10"/>
        <v>5.1206775531279782E-4</v>
      </c>
    </row>
    <row r="650" spans="1:5" ht="15.75" customHeight="1" x14ac:dyDescent="0.3">
      <c r="A650" s="28">
        <v>7</v>
      </c>
      <c r="B650" s="29">
        <v>4.3899999999999997</v>
      </c>
      <c r="C650" s="31">
        <v>20.170000000000002</v>
      </c>
      <c r="D650" s="28" t="s">
        <v>9</v>
      </c>
      <c r="E650" s="34">
        <f t="shared" si="10"/>
        <v>5.0853799235150835E-4</v>
      </c>
    </row>
    <row r="651" spans="1:5" ht="15.75" customHeight="1" x14ac:dyDescent="0.3">
      <c r="A651" s="28">
        <v>25</v>
      </c>
      <c r="B651" s="29">
        <v>7.37</v>
      </c>
      <c r="C651" s="31">
        <v>19.02</v>
      </c>
      <c r="D651" s="28" t="s">
        <v>9</v>
      </c>
      <c r="E651" s="34">
        <f t="shared" si="10"/>
        <v>4.7954351088377227E-4</v>
      </c>
    </row>
    <row r="652" spans="1:5" ht="15.75" customHeight="1" x14ac:dyDescent="0.3">
      <c r="A652" s="28">
        <v>34</v>
      </c>
      <c r="B652" s="29">
        <v>2</v>
      </c>
      <c r="C652" s="31">
        <v>19.010000000000002</v>
      </c>
      <c r="D652" s="28" t="s">
        <v>9</v>
      </c>
      <c r="E652" s="34">
        <f t="shared" si="10"/>
        <v>4.7929138495796597E-4</v>
      </c>
    </row>
    <row r="653" spans="1:5" ht="15.75" customHeight="1" x14ac:dyDescent="0.3">
      <c r="A653" s="28">
        <v>25</v>
      </c>
      <c r="B653" s="29">
        <v>4</v>
      </c>
      <c r="C653" s="31">
        <v>18.52</v>
      </c>
      <c r="D653" s="28" t="s">
        <v>9</v>
      </c>
      <c r="E653" s="34">
        <f t="shared" si="10"/>
        <v>4.6693721459345228E-4</v>
      </c>
    </row>
    <row r="654" spans="1:5" ht="15.75" customHeight="1" x14ac:dyDescent="0.3">
      <c r="A654" s="28">
        <v>43</v>
      </c>
      <c r="B654" s="29">
        <v>4</v>
      </c>
      <c r="C654" s="31">
        <v>18.28</v>
      </c>
      <c r="D654" s="28" t="s">
        <v>9</v>
      </c>
      <c r="E654" s="34">
        <f t="shared" si="10"/>
        <v>4.6088619237409873E-4</v>
      </c>
    </row>
    <row r="655" spans="1:5" ht="15.75" customHeight="1" x14ac:dyDescent="0.3">
      <c r="A655" s="28">
        <v>50</v>
      </c>
      <c r="B655" s="29">
        <v>1.7</v>
      </c>
      <c r="C655" s="31">
        <v>17.32</v>
      </c>
      <c r="D655" s="28" t="s">
        <v>9</v>
      </c>
      <c r="E655" s="34">
        <f t="shared" si="10"/>
        <v>4.3668210349668434E-4</v>
      </c>
    </row>
    <row r="656" spans="1:5" ht="15.75" customHeight="1" x14ac:dyDescent="0.3">
      <c r="A656" s="28">
        <v>57</v>
      </c>
      <c r="B656" s="29">
        <v>2.7</v>
      </c>
      <c r="C656" s="31">
        <v>16.579999999999998</v>
      </c>
      <c r="D656" s="28" t="s">
        <v>9</v>
      </c>
      <c r="E656" s="34">
        <f t="shared" si="10"/>
        <v>4.1802478498701074E-4</v>
      </c>
    </row>
    <row r="657" spans="1:5" ht="15.75" customHeight="1" x14ac:dyDescent="0.3">
      <c r="A657" s="28">
        <v>13</v>
      </c>
      <c r="B657" s="29">
        <v>2.2999999999999998</v>
      </c>
      <c r="C657" s="31">
        <v>14</v>
      </c>
      <c r="D657" s="28" t="s">
        <v>9</v>
      </c>
      <c r="E657" s="34">
        <f t="shared" si="10"/>
        <v>3.5297629612895964E-4</v>
      </c>
    </row>
    <row r="658" spans="1:5" ht="15.75" customHeight="1" x14ac:dyDescent="0.3">
      <c r="A658" s="28">
        <v>30</v>
      </c>
      <c r="B658" s="29">
        <v>3.7</v>
      </c>
      <c r="C658" s="31">
        <v>12.65</v>
      </c>
      <c r="D658" s="28" t="s">
        <v>9</v>
      </c>
      <c r="E658" s="34">
        <f t="shared" si="10"/>
        <v>3.1893929614509566E-4</v>
      </c>
    </row>
    <row r="659" spans="1:5" ht="15.75" customHeight="1" x14ac:dyDescent="0.3">
      <c r="A659" s="28">
        <v>7</v>
      </c>
      <c r="B659" s="29">
        <v>3.9</v>
      </c>
      <c r="C659" s="31">
        <v>11.95</v>
      </c>
      <c r="D659" s="28" t="s">
        <v>9</v>
      </c>
      <c r="E659" s="34">
        <f t="shared" si="10"/>
        <v>3.0129048133864766E-4</v>
      </c>
    </row>
    <row r="660" spans="1:5" ht="15.75" customHeight="1" x14ac:dyDescent="0.3">
      <c r="A660" s="28">
        <v>23</v>
      </c>
      <c r="B660" s="29">
        <v>2.8</v>
      </c>
      <c r="C660" s="31">
        <v>11.14</v>
      </c>
      <c r="D660" s="28" t="s">
        <v>9</v>
      </c>
      <c r="E660" s="34">
        <f t="shared" si="10"/>
        <v>2.8086828134832933E-4</v>
      </c>
    </row>
    <row r="661" spans="1:5" ht="15.75" customHeight="1" x14ac:dyDescent="0.3">
      <c r="A661" s="28">
        <v>48</v>
      </c>
      <c r="B661" s="29">
        <v>5.93</v>
      </c>
      <c r="C661" s="31">
        <v>10.96</v>
      </c>
      <c r="D661" s="28" t="s">
        <v>9</v>
      </c>
      <c r="E661" s="34">
        <f t="shared" si="10"/>
        <v>2.7633001468381415E-4</v>
      </c>
    </row>
    <row r="662" spans="1:5" ht="15.75" customHeight="1" x14ac:dyDescent="0.3">
      <c r="A662" s="28">
        <v>15</v>
      </c>
      <c r="B662" s="29">
        <v>2.6</v>
      </c>
      <c r="C662" s="31">
        <v>9.8000000000000007</v>
      </c>
      <c r="D662" s="28" t="s">
        <v>9</v>
      </c>
      <c r="E662" s="34">
        <f t="shared" si="10"/>
        <v>2.4708340729027176E-4</v>
      </c>
    </row>
    <row r="663" spans="1:5" ht="15.75" customHeight="1" x14ac:dyDescent="0.3">
      <c r="A663" s="28">
        <v>6</v>
      </c>
      <c r="B663" s="29">
        <v>4.68</v>
      </c>
      <c r="C663" s="31">
        <v>9.23</v>
      </c>
      <c r="D663" s="28" t="s">
        <v>8</v>
      </c>
      <c r="E663" s="34">
        <f t="shared" si="10"/>
        <v>2.3271222951930698E-4</v>
      </c>
    </row>
    <row r="664" spans="1:5" ht="15.75" customHeight="1" x14ac:dyDescent="0.3">
      <c r="A664" s="28">
        <v>34</v>
      </c>
      <c r="B664" s="29">
        <v>8.41</v>
      </c>
      <c r="C664" s="31">
        <v>8.69</v>
      </c>
      <c r="D664" s="28" t="s">
        <v>9</v>
      </c>
      <c r="E664" s="34">
        <f t="shared" si="10"/>
        <v>2.1909742952576136E-4</v>
      </c>
    </row>
    <row r="665" spans="1:5" ht="15.75" customHeight="1" x14ac:dyDescent="0.3">
      <c r="A665" s="28">
        <v>26</v>
      </c>
      <c r="B665" s="29">
        <v>4.18</v>
      </c>
      <c r="C665" s="31">
        <v>8</v>
      </c>
      <c r="D665" s="28" t="s">
        <v>8</v>
      </c>
      <c r="E665" s="34">
        <f t="shared" si="10"/>
        <v>2.017007406451198E-4</v>
      </c>
    </row>
    <row r="666" spans="1:5" ht="16.8" customHeight="1" x14ac:dyDescent="0.3">
      <c r="A666" s="28">
        <v>26</v>
      </c>
      <c r="B666" s="29">
        <v>3.2</v>
      </c>
      <c r="C666" s="31">
        <v>6.97</v>
      </c>
      <c r="D666" s="28" t="s">
        <v>9</v>
      </c>
      <c r="E666" s="34">
        <f t="shared" si="10"/>
        <v>1.7573177028706061E-4</v>
      </c>
    </row>
    <row r="667" spans="1:5" ht="15.75" customHeight="1" x14ac:dyDescent="0.3">
      <c r="A667" s="28"/>
      <c r="B667" s="28">
        <f>SUBTOTAL(103,Table_1[Temps d''achat])</f>
        <v>660</v>
      </c>
      <c r="C667" s="31">
        <f>SUBTOTAL(109,Table_1[Montant])</f>
        <v>39662.719999999972</v>
      </c>
      <c r="D667" s="28"/>
      <c r="E667" s="35">
        <f>SUBTOTAL(109,Table_1[CA %])</f>
        <v>1.0000000000000007</v>
      </c>
    </row>
    <row r="668" spans="1:5" ht="15.75" customHeight="1" x14ac:dyDescent="0.3">
      <c r="A668" s="28"/>
      <c r="B668" s="28"/>
      <c r="C668" s="31"/>
      <c r="D668" s="28"/>
    </row>
    <row r="676" spans="5:5" ht="15" customHeight="1" x14ac:dyDescent="0.3">
      <c r="E676" s="67"/>
    </row>
  </sheetData>
  <conditionalFormatting sqref="A7:E666">
    <cfRule type="containsText" dxfId="0" priority="1" operator="containsText" text="nourriture">
      <formula>NOT(ISERROR(SEARCH("nourriture",A7)))</formula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DB63C9-8D7C-4F6A-A6F2-E35B6365F3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3</vt:i4>
      </vt:variant>
    </vt:vector>
  </HeadingPairs>
  <TitlesOfParts>
    <vt:vector size="9" baseType="lpstr">
      <vt:lpstr>Tableau de bord</vt:lpstr>
      <vt:lpstr>Top10</vt:lpstr>
      <vt:lpstr>Tableau Client x Catégorie</vt:lpstr>
      <vt:lpstr>Draft</vt:lpstr>
      <vt:lpstr>Feuil11</vt:lpstr>
      <vt:lpstr>DATA Février (clients affiliés)</vt:lpstr>
      <vt:lpstr>Clients</vt:lpstr>
      <vt:lpstr>'DATA Février (clients affiliés)'!Criteres</vt:lpstr>
      <vt:lpstr>'Tableau de bord'!Zone_d_impression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Kouamé Ghyslain Kanga</cp:lastModifiedBy>
  <cp:lastPrinted>2024-01-25T12:03:32Z</cp:lastPrinted>
  <dcterms:created xsi:type="dcterms:W3CDTF">2021-02-27T08:31:49Z</dcterms:created>
  <dcterms:modified xsi:type="dcterms:W3CDTF">2024-02-07T12:57:30Z</dcterms:modified>
</cp:coreProperties>
</file>